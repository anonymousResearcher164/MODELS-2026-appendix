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heet" sheetId="1" r:id="rId5"/>
    <sheet state="visible" name="Plot" sheetId="2" r:id="rId6"/>
    <sheet state="visible" name="Kendall" sheetId="3" r:id="rId7"/>
    <sheet state="visible" name="Quality Distribution" sheetId="4" r:id="rId8"/>
    <sheet state="visible" name="Correctness Distribution" sheetId="5" r:id="rId9"/>
    <sheet state="visible" name="Screened, Extracted and Matched" sheetId="6" r:id="rId10"/>
  </sheets>
  <definedNames/>
  <calcPr/>
</workbook>
</file>

<file path=xl/sharedStrings.xml><?xml version="1.0" encoding="utf-8"?>
<sst xmlns="http://schemas.openxmlformats.org/spreadsheetml/2006/main" count="395" uniqueCount="358">
  <si>
    <t>Quality (1=not achieved, 2=major deficits, 3=minor deficits, 4=best)</t>
  </si>
  <si>
    <t>Correctness (1=incorrect, 2=major issues, 3=minor issues, 4=correct)</t>
  </si>
  <si>
    <t>Mission requirement
(generated by the LLM)</t>
  </si>
  <si>
    <t>Number of Tries</t>
  </si>
  <si>
    <t>Comb. avg. quality rating</t>
  </si>
  <si>
    <t>Prompt Engineer</t>
  </si>
  <si>
    <t>Evaluator</t>
  </si>
  <si>
    <t>Avg correctness rating</t>
  </si>
  <si>
    <t>BT ID</t>
  </si>
  <si>
    <t>Avg. quality rating</t>
  </si>
  <si>
    <t>Atomicity</t>
  </si>
  <si>
    <t>Ambiguity</t>
  </si>
  <si>
    <t>Completeness</t>
  </si>
  <si>
    <t>Usability</t>
  </si>
  <si>
    <t>Consistency</t>
  </si>
  <si>
    <t>Comment</t>
  </si>
  <si>
    <t>Rating</t>
  </si>
  <si>
    <t>Prompts</t>
  </si>
  <si>
    <t>Cycle 1</t>
  </si>
  <si>
    <t>entry_6</t>
  </si>
  <si>
    <t>https://github.com/isselab/2025-models-prompt-engineering-results/blob/main/experiment_samples/cycle_1/mrq_entry_6.txt</t>
  </si>
  <si>
    <t>Misinterpreted code references. The LLM also included unecessary additional information (Behavioral Flow Reference Mapping) presented in an undesired format. Readability was bad</t>
  </si>
  <si>
    <t>The requirement R11 addresses two atomic functions: “position its arms for grasping” and “navigate to the computed inverse pose”. It is possible to improve the readability of the requirements to enable non-technical users to understand the behavior captured.</t>
  </si>
  <si>
    <t>ask for help may not always be from a human. that detail is not entirely correct</t>
  </si>
  <si>
    <t>https://github.com/isselab/2025-models-prompt-engineering-results/blob/main/experiment_samples/cycle_1/prompt_entry_6.txt</t>
  </si>
  <si>
    <t>entry_64</t>
  </si>
  <si>
    <t>https://github.com/isselab/2025-models-prompt-engineering-results/blob/main/experiment_samples/cycle_1/mrq_entry_64.txt</t>
  </si>
  <si>
    <t>code references not consistently applied. readability was bad (usability &lt;)</t>
  </si>
  <si>
    <t>It is possible to improve the readability of the requirements to enable non-technical users to understand the behavior captured. R2 and R8 are redundant.</t>
  </si>
  <si>
    <t>REQ-7 not an accurate requirement. "interesting" cannot be readily inferred from visualizing the BT. REQ-2 and REQ-8 are the same (i.e. redundancy). REQ-13 not so accurate</t>
  </si>
  <si>
    <t>R2 and R8 are redundant.</t>
  </si>
  <si>
    <t>https://github.com/isselab/2025-models-prompt-engineering-results/blob/main/experiment_samples/cycle_1/prompt_entry_64.txt</t>
  </si>
  <si>
    <t>entry_73</t>
  </si>
  <si>
    <t>https://github.com/isselab/2025-models-prompt-engineering-results/blob/main/experiment_samples/cycle_1/mrq_entry_73.txt</t>
  </si>
  <si>
    <t>Note: The BT XML misspells “RetryUntilSuccessful” as “RetryUntilSuccesful,” but LLM uses the intended meaning. Readability was bad</t>
  </si>
  <si>
    <t>In my opinion, some of the inferences may lead to vague requirements (minor incompleteness) due to a lack of information. For example, in R16, how would 'stable orientation' be verified (moderate ambiguity) ? It is possible to improve the readability of the requirements to enable non-technical users to understand the behavior captured.</t>
  </si>
  <si>
    <t>REQ-3: "reports a SUCCESS condition" is not so accurate. More like a SUCCESS status is returned. A lot of repetirion of concepts. Alot of inferred condition added to action, which may not necessarily be accurate.</t>
  </si>
  <si>
    <t>R2, R5, R8 and R11 are difficult to understand. It is necessary to reorganize them. It is possible to improve the readability of the requirements to enable users unambiguously understand the behavior captured</t>
  </si>
  <si>
    <t>https://github.com/isselab/2025-models-prompt-engineering-results/blob/main/experiment_samples/cycle_1/prompt_entry_73.txt</t>
  </si>
  <si>
    <t>entry_266</t>
  </si>
  <si>
    <t>https://github.com/isselab/2025-models-prompt-engineering-results/blob/main/experiment_samples/cycle_1/mrq_entry_266.txt</t>
  </si>
  <si>
    <t>Code reference misinterpretation. R5 not atomic at all. Bad usability</t>
  </si>
  <si>
    <t>R5 is not atomic. It is not explicitly stated which inputs of one action are outputs of another. In my opinion, this point could be improved if it is a priority. It is possible to improve the readability of the requirements to enable non-technical users to understand the behavior captured.</t>
  </si>
  <si>
    <t>sequence is not explicitly state and input paramaters are mentioned but not defined as input parameters.</t>
  </si>
  <si>
    <t>https://github.com/isselab/2025-models-prompt-engineering-results/blob/main/experiment_samples/cycle_1/prompt_entry_266.txt</t>
  </si>
  <si>
    <t>entry_317</t>
  </si>
  <si>
    <t>https://github.com/isselab/2025-models-prompt-engineering-results/blob/main/experiment_samples/cycle_1/mrq_entry_317.txt</t>
  </si>
  <si>
    <t>Inconsistent language: "robot" and "system" mix in wording. Statements can be further decomposed into multiples. There are standalone requiremnts that are not labelled. Poor usabilty</t>
  </si>
  <si>
    <t>Different linguistic patterns are used in the statements. This makes it difficult to understand the requirements in natural language. Some statements may be split into one or more statements. It is possible to improve the readability of the requirements to enable non-technical users to understand the behavior captured.</t>
  </si>
  <si>
    <t>Nuances like nested sequences and roud robin recovery techniques are not explained properly from the staments provided. Vague explanation of actions could lead to misinterpretations</t>
  </si>
  <si>
    <t>The statements describe all the nodes of the BT, but the lack of standardization in the language used makes it difficult to validate their correctness.</t>
  </si>
  <si>
    <t>https://github.com/isselab/2025-models-prompt-engineering-results/blob/main/experiment_samples/cycle_1/prompt_entry_317.txt</t>
  </si>
  <si>
    <t>entry_375</t>
  </si>
  <si>
    <t>https://github.com/isselab/2025-models-prompt-engineering-results/blob/main/experiment_samples/cycle_1/mrq_entry_375.txt</t>
  </si>
  <si>
    <t>one instance of "the system" instead of "the robot". Atomicity and usability is violated</t>
  </si>
  <si>
    <t xml:space="preserve">R3 is not clear. R2 and R3 are not atomic. The statements interchange the terms robot and system. It is possible to improve the readability of the requirements to enable non-technical users to understand the behavior captured. </t>
  </si>
  <si>
    <t>Not the best accuracy and general presentation is bad so the understandability is affected and this may cause inferences to be made on the behavior exhibited.</t>
  </si>
  <si>
    <t>R3 is not clear. The parameters "barout", "baz", and "fooin" are not explicitly defined, which makes them difficult to understand.</t>
  </si>
  <si>
    <t>https://github.com/isselab/2025-models-prompt-engineering-results/blob/main/experiment_samples/cycle_1/prompt_entry_375.txt</t>
  </si>
  <si>
    <t>entry_411</t>
  </si>
  <si>
    <t>https://github.com/isselab/2025-models-prompt-engineering-results/blob/main/experiment_samples/cycle_1/mrq_entry_411.txt</t>
  </si>
  <si>
    <t>R12, R15, R16 are not atomic. Not usable. Code references misunderstood and it makes the text look clumsy. Usability was poor; a mix of code and natural language</t>
  </si>
  <si>
    <t xml:space="preserve">Some statements are not atomic, for example, R12. The different formats of the statements make it difficult to interpret the description of the requirements in natural language. I think the lack of standardization in the text can lead to ambiguity.  It is possible to improve the readability of the requirements to enable non-technical users to understand the behavior captured. </t>
  </si>
  <si>
    <t>The presentation is not organized and is hard to follow; consequently, the described behavior might be misinterpreted</t>
  </si>
  <si>
    <t>https://github.com/isselab/2025-models-prompt-engineering-results/blob/main/experiment_samples/cycle_1/prompt_entry_411.txt</t>
  </si>
  <si>
    <t>entry_457</t>
  </si>
  <si>
    <t>https://github.com/isselab/2025-models-prompt-engineering-results/blob/main/experiment_samples/cycle_1/mrq_entry_457.txt</t>
  </si>
  <si>
    <t>R11 AND R12 atomicity issues. Also no code references included. "if impassable" sounds a little contradictory. Poor presentation</t>
  </si>
  <si>
    <t xml:space="preserve">The wording mixes 'system' and 'vehicle'. Furthermore, requirements like R4, R11, and R12 should be broken down into atomic statements. It is possible to improve the readability of the requirements to enable non-technical users to understand the behavior captured. </t>
  </si>
  <si>
    <t>The lack of standardization in the language used makes it difficult to validate their correctness.</t>
  </si>
  <si>
    <t>https://github.com/isselab/2025-models-prompt-engineering-results/blob/main/experiment_samples/cycle_1/prompt_entry_457.txt</t>
  </si>
  <si>
    <t>entry_467</t>
  </si>
  <si>
    <t>https://github.com/isselab/2025-models-prompt-engineering-results/blob/main/experiment_samples/cycle_1/mrq_entry_467.txt</t>
  </si>
  <si>
    <t>"the object" instead of the robot. Code references that are not easily understandable. Poor presentation</t>
  </si>
  <si>
    <t xml:space="preserve">The statements mix the words 'system', 'robot', 'vehicle', and 'manipulator'. It is possible to improve the readability of the requirements. I think some statements are not atomic, for example, R1 and R5. </t>
  </si>
  <si>
    <t>The interpreted behavior is correct; however, mixing terminology can lead to misinterpretation (e.g., 'system', 'robot', 'vehicle', and 'manipulator').</t>
  </si>
  <si>
    <t>https://github.com/isselab/2025-models-prompt-engineering-results/blob/main/experiment_samples/cycle_1/prompt_entry_467.txt</t>
  </si>
  <si>
    <t>entry_540</t>
  </si>
  <si>
    <t>https://github.com/isselab/2025-models-prompt-engineering-results/blob/main/experiment_samples/cycle_1/mrq_entry_540.txt</t>
  </si>
  <si>
    <t>too much contextual info given. Minor ordering issue. Poorly presented. thus not usable</t>
  </si>
  <si>
    <t>The description can be simplified in terms of technical detail. Redundant info make it long.</t>
  </si>
  <si>
    <t>key execution nuance missed in interpreting SequencStar</t>
  </si>
  <si>
    <t>https://github.com/isselab/2025-models-prompt-engineering-results/blob/main/experiment_samples/cycle_1/prompt_entry_540.txt</t>
  </si>
  <si>
    <t>Cycle 2</t>
  </si>
  <si>
    <t>entry_150</t>
  </si>
  <si>
    <t>https://github.com/isselab/2025-models-prompt-engineering-results/blob/main/experiment_samples/cycle_2/mrq_entry_150.txt</t>
  </si>
  <si>
    <t>Some statements are not atomic enough</t>
  </si>
  <si>
    <t>It is possible to improve the readability of the requirements to enable users unambiguously understand the behavior captured</t>
  </si>
  <si>
    <t>https://github.com/isselab/2025-models-prompt-engineering-results/blob/main/experiment_samples/cycle_2/prompt_entry_150.txt</t>
  </si>
  <si>
    <t>entry_220</t>
  </si>
  <si>
    <t>https://github.com/isselab/2025-models-prompt-engineering-results/blob/main/experiment_samples/cycle_2/mrq_entry_220.txt</t>
  </si>
  <si>
    <t>Few statements like (Global Fallback Path Handling 6.) are not atomic, some terminilogies are ambiguous without prior context from an overview</t>
  </si>
  <si>
    <t>The presentation is not organized and is hard to follow. It is possible to improve the readability of the requirements to enable users unambiguously understand the behavior captured. Some statements are not atomic (e.g. Lane Keeping State 4.)</t>
  </si>
  <si>
    <t xml:space="preserve">Some ambiguities in the sentence formulation may affect correctness slightly </t>
  </si>
  <si>
    <t>The description could be improved to make the content clearer.</t>
  </si>
  <si>
    <t>https://github.com/isselab/2025-models-prompt-engineering-results/blob/main/experiment_samples/cycle_2/prompt_entry_220.txt</t>
  </si>
  <si>
    <t>entry_272</t>
  </si>
  <si>
    <t>https://github.com/isselab/2025-models-prompt-engineering-results/blob/main/experiment_samples/cycle_2/mrq_entry_272.txt</t>
  </si>
  <si>
    <t>I think maybe MRQ2 can be decomposed into more than one atomic statement. The statement seems complex and loaded. Not very usable in sentence formulation and  presentation. Incomplete without an overview</t>
  </si>
  <si>
    <t xml:space="preserve"> It is possible to improve the readability of the requirements to enable users unambiguously understand the behavior captured.</t>
  </si>
  <si>
    <t>https://github.com/isselab/2025-models-prompt-engineering-results/blob/main/experiment_samples/cycle_2/prompt_entry_272.txt</t>
  </si>
  <si>
    <t>entry_418</t>
  </si>
  <si>
    <t>https://github.com/isselab/2025-models-prompt-engineering-results/blob/main/experiment_samples/cycle_2/mrq_entry_418.txt</t>
  </si>
  <si>
    <t>Usability still a challenge</t>
  </si>
  <si>
    <t>Some statements are not atomic (e.g. R22). It is possible to improve the readability of the requirements to enable users unambiguously understand the behavior captured.</t>
  </si>
  <si>
    <t>https://github.com/isselab/2025-models-prompt-engineering-results/blob/main/experiment_samples/cycle_2/prompt_entry_418.txt</t>
  </si>
  <si>
    <t>entry_451</t>
  </si>
  <si>
    <t>https://github.com/isselab/2025-models-prompt-engineering-results/blob/main/experiment_samples/cycle_2/mrq_entry_451.txt</t>
  </si>
  <si>
    <t>MRQ3 not atomic. Not very usable; highly technical tone. Remembrance in MRQ13 not round specific. "ends unsuccessfully" is quite ambiguous and contradictory.</t>
  </si>
  <si>
    <t>It is possible to improve the readability of the requirements to enable users unambiguously understand the behavior captured. Some statements are not atomic (e.g. R3)</t>
  </si>
  <si>
    <t>https://github.com/isselab/2025-models-prompt-engineering-results/blob/main/experiment_samples/cycle_2/prompt_entry_451.txt</t>
  </si>
  <si>
    <t>entry_475</t>
  </si>
  <si>
    <t>https://github.com/isselab/2025-models-prompt-engineering-results/blob/main/experiment_samples/cycle_2/mrq_entry_475.txt</t>
  </si>
  <si>
    <t>Instances of SequenceStar vaguely described. Poor usability. "the Fallback continues to other children (none exist)"---contradiction</t>
  </si>
  <si>
    <t>I didn't understand REQ19 (text "none exist"). Is this a modeling issue?: "19. If the SequenceStar inside the Fallback returns FAILURE, the Fallback continues to other children (none exist), resulting in FAILURE." It is possible to improve the readability of the requirements</t>
  </si>
  <si>
    <t>https://github.com/isselab/2025-models-prompt-engineering-results/blob/main/experiment_samples/cycle_2/prompt_entry_475.txt</t>
  </si>
  <si>
    <t>entry_50</t>
  </si>
  <si>
    <t>https://github.com/isselab/2025-models-prompt-engineering-results/blob/main/experiment_samples/cycle_2/mrq_entry_50.txt</t>
  </si>
  <si>
    <t xml:space="preserve">MRQ 5 &amp;6 display a repeatition in behavior. No general context orvierview of BT behavior; These affect usability drastically. Requirements are quite technical. </t>
  </si>
  <si>
    <t>https://github.com/isselab/2025-models-prompt-engineering-results/blob/main/experiment_samples/cycle_2/prompt_entry_50.txt</t>
  </si>
  <si>
    <t>entry_511</t>
  </si>
  <si>
    <t>https://github.com/isselab/2025-models-prompt-engineering-results/blob/main/experiment_samples/cycle_2/mrq_entry_511.txt</t>
  </si>
  <si>
    <t>MRQ9 and MRQ17 are both ambiguous. both use the phrase "repeating as necessary" with no maximum iteration count or guard condition. Only mrqs 3, 5, 11, 13, 19, 22 are truly atomic. Mostly consistent aside a couple of consistency issues</t>
  </si>
  <si>
    <t>Very technical terms are being used. Understandability could be improved for non-technical stakeholders.</t>
  </si>
  <si>
    <t>"repeating as necessary" phrase lacks precision</t>
  </si>
  <si>
    <t>https://github.com/isselab/2025-models-prompt-engineering-results/blob/main/experiment_samples/cycle_2/prompt_entry_511.txt</t>
  </si>
  <si>
    <t>entry_529</t>
  </si>
  <si>
    <t>https://github.com/isselab/2025-models-prompt-engineering-results/blob/main/experiment_samples/cycle_2/mrq_entry_529.txt</t>
  </si>
  <si>
    <t>Apart from MRRQ2 and 7 which are strongly atomic, the rest are moderately atomic. Ambiguity points: "1.0" has not unit. Does "halt" cancel execution or return failure or both? wait doesnt specify if its infinity or timed. MRQ 1 lacks the specific actions that should be executed.</t>
  </si>
  <si>
    <t>ambiguity points stated impact correctness score</t>
  </si>
  <si>
    <t>https://github.com/isselab/2025-models-prompt-engineering-results/blob/main/experiment_samples/cycle_2/prompt_entry_529.txt</t>
  </si>
  <si>
    <t>entry_531</t>
  </si>
  <si>
    <t>https://github.com/isselab/2025-models-prompt-engineering-results/blob/main/experiment_samples/cycle_2/mrq_entry_531.txt</t>
  </si>
  <si>
    <t>MRQ9 could be split into subs. "is needed" is ambiguous and implicit (how that is determined, not specified). "specified smoother" (MRQ8) is too vague. round-robin is described implicitly. MRQ12 is not usable and describes a behavior that is not found in visualizer; reactivity seems like a full retry</t>
  </si>
  <si>
    <t>Some statements are not atomic, for example, R6. In general, the requirements are not easy to understand; for example, R6, R9, R11, and R14 are particularly technical. My suggestion is to make them less technical.</t>
  </si>
  <si>
    <t>Some of the quality discrepancies detected impact the correctness of the description</t>
  </si>
  <si>
    <t>https://github.com/isselab/2025-models-prompt-engineering-results/blob/main/experiment_samples/cycle_2/prompt_entry_531.txt</t>
  </si>
  <si>
    <t>Cycle 3</t>
  </si>
  <si>
    <t>entry_58</t>
  </si>
  <si>
    <t>https://github.com/isselab/2025-models-prompt-engineering-results/blob/main/experiment_samples/cycle_3/mrq_entry_58.txt</t>
  </si>
  <si>
    <t>A few phrases lack precision:"Wait until go1/go2 completes","Report mission failure". Running status not covered. Req 1 uses the word "sequence" but the actual logic could be percieved as conditional branching i.e. not wrong, but slightly misleadingmisleading.</t>
  </si>
  <si>
    <t>This description does not include details about go1 and go2. This affects completeness. It is possible to improve the readability of the requirements to enable users unambiguously understand the behavior captured</t>
  </si>
  <si>
    <t>https://github.com/isselab/2025-models-prompt-engineering-results/blob/main/experiment_samples/cycle_3/prompt_entry_58.txt</t>
  </si>
  <si>
    <t>entry_77</t>
  </si>
  <si>
    <t>https://github.com/isselab/2025-models-prompt-engineering-results/blob/main/experiment_samples/cycle_3/mrq_entry_77.txt</t>
  </si>
  <si>
    <t>MRQ8 can be split into a main and sub. MRQ7: "stop the current sequence and terminate the current cycle";oes terminating a cycle mean the mission proceeds to the next cycle, or halts entirely?Its also not clear what a cycle is. Sounds very technical and presentation makes readability slightly difficult. "Three complete cycles" (MRQ1), "three successfully executed" (MRQ8), and "three successful cycles" (MRQ9) all phrase the same condition differently, introducing subtle interpretive risk.</t>
  </si>
  <si>
    <t>Very technical terms are being used. Understandability could be improved for non-technical stakeholders. R8 is not atomic.</t>
  </si>
  <si>
    <t>Interpretation risk in 8 and 9 dents the correctness a bit</t>
  </si>
  <si>
    <t>https://github.com/isselab/2025-models-prompt-engineering-results/blob/main/experiment_samples/cycle_3/prompt_entry_77.txt</t>
  </si>
  <si>
    <t>entry_92</t>
  </si>
  <si>
    <t>https://github.com/isselab/2025-models-prompt-engineering-results/blob/main/experiment_samples/cycle_3/mrq_entry_92.txt</t>
  </si>
  <si>
    <t>MRQ29 can be reforemulated into two requirements. No timeout policy for continuously evaluated conditions. Any and all not used consistently. Usability level not strong enough to realsie mission in detail.</t>
  </si>
  <si>
    <t>The output may be simplified. Redundant rules for similar behaviors could be optimized. R29 and R33 are not atomic. It is possible to improve the readability of the requirements to enable users unambiguously understand the behavior captured</t>
  </si>
  <si>
    <t>https://github.com/isselab/2025-models-prompt-engineering-results/blob/main/experiment_samples/cycle_3/prompt_entry_92.txt</t>
  </si>
  <si>
    <t>entry_124</t>
  </si>
  <si>
    <t>https://github.com/isselab/2025-models-prompt-engineering-results/blob/main/experiment_samples/cycle_3/mrq_entry_124.txt</t>
  </si>
  <si>
    <t>Repetition is specified in categorised list heading instead of being fused into description. Failure state handing (11-28) not addressed.</t>
  </si>
  <si>
    <t>Very technical terms are being used. Understandability could be improved  for non-technical stakeholders.</t>
  </si>
  <si>
    <t>Some execution states are not mentioned but implied and left to user interpretation so this could be interpreted as incomplete and imprecise</t>
  </si>
  <si>
    <t>https://github.com/isselab/2025-models-prompt-engineering-results/blob/main/experiment_samples/cycle_3/prompt_entry_124.txt</t>
  </si>
  <si>
    <t>entry_155</t>
  </si>
  <si>
    <t>https://github.com/isselab/2025-models-prompt-engineering-results/blob/main/experiment_samples/cycle_3/mrq_entry_155.txt</t>
  </si>
  <si>
    <t>The phrase "Wait until the action completes before proceeding" sounds ambiguous</t>
  </si>
  <si>
    <t>Usability can be improved  for non-technical stakeholders. I think improving readability can prevent ambiguities.</t>
  </si>
  <si>
    <t>https://github.com/isselab/2025-models-prompt-engineering-results/blob/main/experiment_samples/cycle_3/prompt_entry_155.txt</t>
  </si>
  <si>
    <t>entry_248</t>
  </si>
  <si>
    <t>https://github.com/isselab/2025-models-prompt-engineering-results/blob/main/experiment_samples/cycle_3/mrq_entry_248.txt</t>
  </si>
  <si>
    <t>MRQ3,16,21 can be split into multiple sentences. MRQ22: "restart the sequence from the first action"; contradicts SequenceStar behavior. MRQ24 retry count comes off as ambiguous. Is the initial try part of the six retries?</t>
  </si>
  <si>
    <t>"complete the mission" in R25 and "terminate the mission" in R26 seem to be the same thing, but they are not. I think this can lead to ambiguity. R21 can be rearranged in terms of atomicity. This matches BT entry_418 (Cycle 2); however, the description of the requirements has been refined</t>
  </si>
  <si>
    <t>https://github.com/isselab/2025-models-prompt-engineering-results/blob/main/experiment_samples/cycle_3/prompt_entry_248.txt</t>
  </si>
  <si>
    <t>entry_256</t>
  </si>
  <si>
    <t>https://github.com/isselab/2025-models-prompt-engineering-results/blob/main/experiment_samples/cycle_3/mrq_entry_256.txt</t>
  </si>
  <si>
    <t>does the mission then proceed to the next cycle, or does it abort all remaining cycles when it terminates sequence execution for that cycle?; A bit of ambiguity there</t>
  </si>
  <si>
    <t>"inout ports" in R11 can be rewritten as "in/out ports". R11 is not atomic. Very technical terms are being used. Understandability could be improved for non-technical stakeholders.</t>
  </si>
  <si>
    <t>https://github.com/isselab/2025-models-prompt-engineering-results/blob/main/experiment_samples/cycle_3/prompt_entry_256.txt</t>
  </si>
  <si>
    <t>entry_345</t>
  </si>
  <si>
    <t>https://github.com/isselab/2025-models-prompt-engineering-results/blob/main/experiment_samples/cycle_3/mrq_entry_345.txt</t>
  </si>
  <si>
    <t>Presentation hampers readability and understandability to a significant extent</t>
  </si>
  <si>
    <t>R2, R5, R8 and R11 are difficult to understand. Maybe we could reorganize them. It is possible to improve the readability of the requirements to enable users unambiguously understand the behavior captured</t>
  </si>
  <si>
    <t>https://github.com/isselab/2025-models-prompt-engineering-results/blob/main/experiment_samples/cycle_3/prompt_entry_345.txt</t>
  </si>
  <si>
    <t>entry_380</t>
  </si>
  <si>
    <t>https://github.com/isselab/2025-models-prompt-engineering-results/blob/main/experiment_samples/cycle_3/mrq_entry_380.txt</t>
  </si>
  <si>
    <t>MRQ6 is redundant. MRQ4 and 8 overlap. Seems readable and undestandable. Some strict details are missing but it doesnt hamper reproducibility</t>
  </si>
  <si>
    <t>The parameters "barout", "baz", and "fooin" were omitted. This BT is very similar to entry_375 (Cycle 1). Usability can be improved  for non-technical stakeholders. I think improving readability can prevent ambiguities</t>
  </si>
  <si>
    <t>Lack of hard parameters makes the correctness a bit fuzzy.</t>
  </si>
  <si>
    <t>It describes the expected behavior, but the parameters "barout", "baz", and "fooin" were omitted.</t>
  </si>
  <si>
    <t>https://github.com/isselab/2025-models-prompt-engineering-results/blob/main/experiment_samples/cycle_3/prompt_entry_380.txt</t>
  </si>
  <si>
    <t>entry_552</t>
  </si>
  <si>
    <t>https://github.com/isselab/2025-models-prompt-engineering-results/blob/main/experiment_samples/cycle_3/mrq_entry_552.txt</t>
  </si>
  <si>
    <t>A few redundant phrases and expressions. Some expressions might not be interpreted precisely</t>
  </si>
  <si>
    <t xml:space="preserve">Some requirements are hard to understand without context or more details. For instance, in R6, "mark them as unoccupied' is vague, and 'loci' seems like technical jargon. RQ6 (1-5) can be rearranged in terms of atomicity. </t>
  </si>
  <si>
    <t>https://github.com/isselab/2025-models-prompt-engineering-results/blob/main/experiment_samples/cycle_3/prompt_entry_552.txt</t>
  </si>
  <si>
    <t>Cycle 4</t>
  </si>
  <si>
    <t>entry_32</t>
  </si>
  <si>
    <t>https://github.com/isselab/2025-models-prompt-engineering-results/blob/main/experiment_samples/cycle_4/mrq_entry_32.txt</t>
  </si>
  <si>
    <t>Mission scope kept narrow and concise. Slight tradeoff of atomicity for fluency. More noticable fluency. "before proceeding" could me misinterpreted to mean other actions exist, slighly contadicting the last statement.</t>
  </si>
  <si>
    <t xml:space="preserve">In the third sentence, "...wait for it to finish before proceeding." contradicts "a single-step mission". There is no other step. </t>
  </si>
  <si>
    <t>https://github.com/isselab/2025-models-prompt-engineering-results/blob/main/experiment_samples/cycle_4/prompt_entry_32.txt</t>
  </si>
  <si>
    <t>entry_41</t>
  </si>
  <si>
    <t>https://github.com/isselab/2025-models-prompt-engineering-results/blob/main/experiment_samples/cycle_4/mrq_entry_41.txt</t>
  </si>
  <si>
    <t>Slight tradeoff of atomicity for fluency. Succinctness in understadability make minor aspects of completeness more implicit(i.e failure of sequence actions)</t>
  </si>
  <si>
    <t>The second sentence is a bit ambiguous: "...stop the sequence if any action fails or is still running.". Maybe: "will wait if an action is still running". I suggest splitting it for better clarity.</t>
  </si>
  <si>
    <t>https://github.com/isselab/2025-models-prompt-engineering-results/blob/main/experiment_samples/cycle_4/prompt_entry_41.txt</t>
  </si>
  <si>
    <t>entry_194</t>
  </si>
  <si>
    <t>https://github.com/isselab/2025-models-prompt-engineering-results/blob/main/experiment_samples/cycle_4/mrq_entry_194.txt</t>
  </si>
  <si>
    <t>https://github.com/isselab/2025-models-prompt-engineering-results/blob/main/experiment_samples/cycle_4/prompt_entry_194.txt</t>
  </si>
  <si>
    <t>entry_321</t>
  </si>
  <si>
    <t>https://github.com/isselab/2025-models-prompt-engineering-results/blob/main/experiment_samples/cycle_4/mrq_entry_321.txt</t>
  </si>
  <si>
    <t>conditional sequence was poorly interpreted, leaving many questions to be answered.</t>
  </si>
  <si>
    <t>The mission requirements lack clarity and completeness in terms of the conditional sequence. This, combined with long sentence structures, makes them difficult to follow.</t>
  </si>
  <si>
    <t>The description of the conditional sequence could be more detailed.</t>
  </si>
  <si>
    <t>https://github.com/isselab/2025-models-prompt-engineering-results/blob/main/experiment_samples/cycle_4/prompt_entry_321.txt</t>
  </si>
  <si>
    <t>entry_376</t>
  </si>
  <si>
    <t>https://github.com/isselab/2025-models-prompt-engineering-results/blob/main/experiment_samples/cycle_4/mrq_entry_376.txt</t>
  </si>
  <si>
    <t>Formulation of repeat decorator not clear. 4th sentence (parallel execution) is very loaded and unatamic. A lot of redundancy in parallel execution breakdown.</t>
  </si>
  <si>
    <t>"Repeat a set  number of times or infinitely by running its child actions a set number of times for 100 cycles" in the third sentence is not clear and consistent. The fourth sentence is long. The last two sentences seem redundant.</t>
  </si>
  <si>
    <t>https://github.com/isselab/2025-models-prompt-engineering-results/blob/main/experiment_samples/cycle_4/prompt_entry_376.txt</t>
  </si>
  <si>
    <t>entry_402</t>
  </si>
  <si>
    <t>https://github.com/isselab/2025-models-prompt-engineering-results/blob/main/experiment_samples/cycle_4/mrq_entry_402.txt</t>
  </si>
  <si>
    <t>The output has highly technical aspects that make it a bit difficult to understand on the first read. The mission is a bit complex so describing sentences are longer than average.</t>
  </si>
  <si>
    <t>Some sentences are long, and some of the requirements are very technical.</t>
  </si>
  <si>
    <t>https://github.com/isselab/2025-models-prompt-engineering-results/blob/main/experiment_samples/cycle_4/prompt_entry_402.txt</t>
  </si>
  <si>
    <t>entry_435</t>
  </si>
  <si>
    <t>https://github.com/isselab/2025-models-prompt-engineering-results/blob/main/experiment_samples/cycle_4/mrq_entry_435.txt</t>
  </si>
  <si>
    <t>The subject referenced throughout the text is inaccurate. This introduces a little ambiguity. FallbackStar description is not clear</t>
  </si>
  <si>
    <t>The inferences are inaccurate. I am not sure if the inferred mission overview is correct</t>
  </si>
  <si>
    <t xml:space="preserve">Incorrect subject reference in mission </t>
  </si>
  <si>
    <t>The inferred mission overview seems incorrect</t>
  </si>
  <si>
    <t>https://github.com/isselab/2025-models-prompt-engineering-results/blob/main/experiment_samples/cycle_4/prompt_entry_435.txt</t>
  </si>
  <si>
    <t>entry_440</t>
  </si>
  <si>
    <t>https://github.com/isselab/2025-models-prompt-engineering-results/blob/main/experiment_samples/cycle_4/mrq_entry_440.txt</t>
  </si>
  <si>
    <t>"a very large number of times"-ambiguos phrase in the beginning with affect reconstruction since its the main branch owhich the remaining logic is built on</t>
  </si>
  <si>
    <t>The second sentence is not precise:  "a very large number of times". It is possible to improve the readability of the requirements</t>
  </si>
  <si>
    <t>Repeat num_cycles="9999" not clearly described</t>
  </si>
  <si>
    <t>https://github.com/isselab/2025-models-prompt-engineering-results/blob/main/experiment_samples/cycle_4/prompt_entry_440.txt</t>
  </si>
  <si>
    <t>entry_485</t>
  </si>
  <si>
    <t>https://github.com/isselab/2025-models-prompt-engineering-results/blob/main/experiment_samples/cycle_4/mrq_entry_485.txt</t>
  </si>
  <si>
    <t>"The robot will then execute a Parallel" instead of "The robot will executed the following in parallel". Could lead to misinterpretating depending on skill level and familiarity with BTs</t>
  </si>
  <si>
    <t>The parallel behavior is presented repeatedly throughout the text. Maybe the description could be optimized to improve readability.</t>
  </si>
  <si>
    <t>repeat action doesnt have concrete number of cycles stated and since everything in the tree depends on this, it affects the correct interpretation from the top</t>
  </si>
  <si>
    <t>https://github.com/isselab/2025-models-prompt-engineering-results/blob/main/experiment_samples/cycle_4/prompt_entry_485.txt</t>
  </si>
  <si>
    <t>entry_566</t>
  </si>
  <si>
    <t>https://github.com/isselab/2025-models-prompt-engineering-results/blob/main/experiment_samples/cycle_4/mrq_entry_566.txt</t>
  </si>
  <si>
    <t>Lack of paragraph separation impacts usability greatly. First fallback after first sequence not explained clearly-"and will move on only if it succeeds" is misleading. Las 3 sentences contain some behavior redundancies.</t>
  </si>
  <si>
    <t xml:space="preserve">The beginning of the sentences is repetitive: "The robot will...". The text is difficult to follow. My suggestion is to use paragraphs. </t>
  </si>
  <si>
    <t>https://github.com/isselab/2025-models-prompt-engineering-results/blob/main/experiment_samples/cycle_4/prompt_entry_566.txt</t>
  </si>
  <si>
    <t>Cycle 5</t>
  </si>
  <si>
    <t>entry_89</t>
  </si>
  <si>
    <t>https://github.com/isselab/2025-models-prompt-engineering-results/blob/main/experiment_samples/cycle_5/mrq_entry_89.txt</t>
  </si>
  <si>
    <t>3rd statement not fully atomic.</t>
  </si>
  <si>
    <t>https://github.com/isselab/2025-models-prompt-engineering-results/blob/main/experiment_samples/cycle_5/prompt_entry_89.txt</t>
  </si>
  <si>
    <t>entry_108</t>
  </si>
  <si>
    <t>https://github.com/isselab/2025-models-prompt-engineering-results/blob/main/experiment_samples/cycle_5/mrq_entry_108.txt</t>
  </si>
  <si>
    <t>Its usable but not unrestrained usability.</t>
  </si>
  <si>
    <t>Non-technical stakeholders may have difficulty understanding the requirements.</t>
  </si>
  <si>
    <t>https://github.com/isselab/2025-models-prompt-engineering-results/blob/main/experiment_samples/cycle_5/prompt_entry_108.txt</t>
  </si>
  <si>
    <t>entry_109</t>
  </si>
  <si>
    <t>https://github.com/isselab/2025-models-prompt-engineering-results/blob/main/experiment_samples/cycle_5/mrq_entry_109.txt</t>
  </si>
  <si>
    <t>"the custom action Repeat "-inconsistency: "Repeat" is not a custom action, its a controller. Last two statements contradict each other a  bit.</t>
  </si>
  <si>
    <t>The last two sentences are contradictory. The sentence "execute the following actions (the custom action NavigateToAction, the custom action NavigateToAction) " is ambiguous, seeming redundant on first reading.</t>
  </si>
  <si>
    <t>https://github.com/isselab/2025-models-prompt-engineering-results/blob/main/experiment_samples/cycle_5/prompt_entry_109.txt</t>
  </si>
  <si>
    <t>entry_325</t>
  </si>
  <si>
    <t>https://github.com/isselab/2025-models-prompt-engineering-results/blob/main/experiment_samples/cycle_5/mrq_entry_325.txt</t>
  </si>
  <si>
    <t>FallbackStar not interpreted very clearly at the end</t>
  </si>
  <si>
    <t>The first sentences of the paragraphs contain many behavioral elements; for instance, "it will execute the following actions (IsOnPasture, IsDay, IsInShed, the custom action LeaveShed, the custom  action FindRandomPastureField, the custom action Move) in sequence".  This makes the sentence difficult to follow. The sentences "It will execute the following actions in sequence" seem a bit incomplete. Furthermore, the last sentences are confusing. My suggestion: it would be better to have a separate paragraph, since they are related to FallbackStar. This BT matches entry_435 (Cycle 4).</t>
  </si>
  <si>
    <t>https://github.com/isselab/2025-models-prompt-engineering-results/blob/main/experiment_samples/cycle_5/prompt_entry_325.txt</t>
  </si>
  <si>
    <t>entry_371</t>
  </si>
  <si>
    <t>https://github.com/isselab/2025-models-prompt-engineering-results/blob/main/experiment_samples/cycle_5/mrq_entry_371.txt</t>
  </si>
  <si>
    <t>"It will find a value on the blackboard and check if it matches a given rule."- ccould be mistaken for a normal checkBlackbordValue; more context is needed to tag it as a ReactiveLTLStateCheck. A few redundant sentences.</t>
  </si>
  <si>
    <t>Some sentences are redundant, such as the first two in the second paragraph. Additionally, this paragraph is too long and should be split to improve readability. The following sentence is difficult to follow because it contains many behavioral elements: 'It will execute the following actions [FakeDetectionLevel1 or ReplanningRequestLevel1, ReactiveLTLStateCheck or ReplanningRequestLevel2, FakeDetectionLevel3 or ReplanningRequestLevel3, Switch4 or ReplanningRequestLevel3] in sequence.</t>
  </si>
  <si>
    <t>https://github.com/isselab/2025-models-prompt-engineering-results/blob/main/experiment_samples/cycle_5/prompt_entry_371.txt</t>
  </si>
  <si>
    <t>entry_432</t>
  </si>
  <si>
    <t>https://github.com/isselab/2025-models-prompt-engineering-results/blob/main/experiment_samples/cycle_5/mrq_entry_432.txt</t>
  </si>
  <si>
    <t>The first sentence of the third paragraph is a bit confusing, and I think that short paragraphs affect readability somewhat.</t>
  </si>
  <si>
    <t>https://github.com/isselab/2025-models-prompt-engineering-results/blob/main/experiment_samples/cycle_5/prompt_entry_432.txt</t>
  </si>
  <si>
    <t>entry_493</t>
  </si>
  <si>
    <t>https://github.com/isselab/2025-models-prompt-engineering-results/blob/main/experiment_samples/cycle_5/mrq_entry_493.txt</t>
  </si>
  <si>
    <t>Nuances like services and service requests not really emphasized</t>
  </si>
  <si>
    <t>I think that short paragraphs (third and fourth) affect readability somewhat. Furthermore, the last paragraph is not sufficiently understandable, perhaps due to the complexity of the mission.</t>
  </si>
  <si>
    <t>https://github.com/isselab/2025-models-prompt-engineering-results/blob/main/experiment_samples/cycle_5/prompt_entry_493.txt</t>
  </si>
  <si>
    <t>entry_515</t>
  </si>
  <si>
    <t>https://github.com/isselab/2025-models-prompt-engineering-results/blob/main/experiment_samples/cycle_5/mrq_entry_515.txt</t>
  </si>
  <si>
    <t>"will move to the next action if the first fails until one action succeeds"-ambiguous formulation</t>
  </si>
  <si>
    <t>The third paragraph is contradictory. The fourth and fifth paragraphs are somewhat redundant. Short paragraphs affect readability somewhat.</t>
  </si>
  <si>
    <t>https://github.com/isselab/2025-models-prompt-engineering-results/blob/main/experiment_samples/cycle_5/prompt_entry_515.txt</t>
  </si>
  <si>
    <t>entry_549</t>
  </si>
  <si>
    <t>https://github.com/isselab/2025-models-prompt-engineering-results/blob/main/experiment_samples/cycle_5/mrq_entry_549.txt</t>
  </si>
  <si>
    <t>The word 'Next' doesn't seem to make sense in the description.</t>
  </si>
  <si>
    <t>Validating the correctness of the inference "single-arm manipulation task" requires additional information</t>
  </si>
  <si>
    <t>https://github.com/isselab/2025-models-prompt-engineering-results/blob/main/experiment_samples/cycle_5/prompt_entry_549.txt</t>
  </si>
  <si>
    <t>entry_584</t>
  </si>
  <si>
    <t>https://github.com/isselab/2025-models-prompt-engineering-results/blob/main/experiment_samples/cycle_5/mrq_entry_584.txt</t>
  </si>
  <si>
    <t>Rigid use of "next", slightly impacting the goal of human-like fluency.</t>
  </si>
  <si>
    <t>The last three sentences related to 'FollowPath' are a little difficult to understand. The repetitive use of the connecting word 'Next' impaired the reading flow. The sentences " it will execute FollowPath while it does not fail"; "if FollowPath fails, stop looping and continue execution" and "it will run the ROS action FollowPath" is a bit confusing.</t>
  </si>
  <si>
    <t>https://github.com/isselab/2025-models-prompt-engineering-results/blob/main/experiment_samples/cycle_5/prompt_entry_584.txt</t>
  </si>
  <si>
    <t>Average correctness ratings</t>
  </si>
  <si>
    <t>Entry</t>
  </si>
  <si>
    <t>Combined averages of quality ratings</t>
  </si>
  <si>
    <t>Cycle</t>
  </si>
  <si>
    <t>Average quality rating (combined)</t>
  </si>
  <si>
    <t>Average correctness rating</t>
  </si>
  <si>
    <t>Min</t>
  </si>
  <si>
    <t>Q1</t>
  </si>
  <si>
    <t>Median</t>
  </si>
  <si>
    <t>Q3</t>
  </si>
  <si>
    <t>Max</t>
  </si>
  <si>
    <t>1</t>
  </si>
  <si>
    <t>2</t>
  </si>
  <si>
    <t>3</t>
  </si>
  <si>
    <t>4</t>
  </si>
  <si>
    <t>5</t>
  </si>
  <si>
    <t>Screening</t>
  </si>
  <si>
    <t>Document</t>
  </si>
  <si>
    <t>Content Summary</t>
  </si>
  <si>
    <t>ISO/IEC/IEEE 29148:2018</t>
  </si>
  <si>
    <t>Distinguishes characteristics of individual requirements and of a set of requirements.</t>
  </si>
  <si>
    <t>ISO/IEC/IEEE 15288:2015</t>
  </si>
  <si>
    <t>Does not define micro‑level requirement statement qualities (like unambiguous or singular etc.) explicitly. However it presents and uses higher‑level notions of requirement and system quality.</t>
  </si>
  <si>
    <t>ISO/IEC/IEEE 12207:2017</t>
  </si>
  <si>
    <r>
      <rPr>
        <rFont val="Arial"/>
        <color theme="1"/>
        <sz val="11.0"/>
      </rPr>
      <t>Similar pattern as 15288 identified. Document is process‑oriented, with quality properties implied rather than named as requirement‑statement attributes</t>
    </r>
    <r>
      <rPr>
        <rFont val="Arial"/>
        <color theme="1"/>
        <sz val="12.0"/>
      </rPr>
      <t>.</t>
    </r>
  </si>
  <si>
    <t>ISO/IEC 25010</t>
  </si>
  <si>
    <t>This is a product‑quality and quality‑in‑use model.</t>
  </si>
  <si>
    <t>IEEE 1061-1992</t>
  </si>
  <si>
    <t>Defines a methodology for metrics over software quality attributes rather than a fixed catalog, but its examples align with classic factors like usability.</t>
  </si>
  <si>
    <t>INCOSE Guide for Writing Requirements (incl. V3/V4)</t>
  </si>
  <si>
    <t>Gives a clear set of characteristics for individual requirements and for sets.</t>
  </si>
  <si>
    <t>Extraction and Matching</t>
  </si>
  <si>
    <t>Quality</t>
  </si>
  <si>
    <t>Singular (each requirement states a single capability, characteristic, constraint, or quality factor).</t>
  </si>
  <si>
    <t>Implicitly supported via requirement traceability/uniqueness and manageable requirement items, but no explicit “atomic” or “singular” characteristic.</t>
  </si>
  <si>
    <t>Not explicitly defined; implied via manageable software requirements items.</t>
  </si>
  <si>
    <t>No direct equivalent</t>
  </si>
  <si>
    <t>Not a defined quality or metric in the taxonomy but it is handled at requirements/specification level.</t>
  </si>
  <si>
    <t>Singular (each requirement states a single capability/characteristic).</t>
  </si>
  <si>
    <t>Unambiguous (requirement can be interpreted in only one way by all intended audiences).</t>
  </si>
  <si>
    <t>Implicitly discouraged through requirements processes; no explicit “unambiguous” requirement characteristic.</t>
  </si>
  <si>
    <t>Not explicitly named, however avoiding ambiguous staements is part of good SRS practice aligned with 29148.</t>
  </si>
  <si>
    <t>No direct attribute matches this. Ambiguity is usually treated in requirements quality, not product quality.</t>
  </si>
  <si>
    <t>Not explicitly listed but framed as a measurable attributes such as reliability.</t>
  </si>
  <si>
    <t>Unambiguous / Non‑ambiguous (one and only one interpretation; avoid vague words).</t>
  </si>
  <si>
    <t>Complete (requirements set stands alone and addresses all necessary aspects)</t>
  </si>
  <si>
    <t>Complete requirement set is implied in verification/validation outcomes and stakeholder requirements definition, but not formalized as a named attribute.</t>
  </si>
  <si>
    <t>Completeness of software requirements is a goal of the Software Requirements Definition and Verification processes, but not labeled as a formal attribute.</t>
  </si>
  <si>
    <t>Functional completeness (sub‑characteristic of Functional suitability: all specified functions are provided).</t>
  </si>
  <si>
    <t>Addressed via functional completeness and “meeting quality requirements” through metrics, but not a standalone named factor.</t>
  </si>
  <si>
    <t>For individual requirements: Complete (no further amplification needed); for sets: Complete (set sufficiently describes all necessary aspects).</t>
  </si>
  <si>
    <t>Not listed as a requirement quality but appears as a requirement type (e.g., “Usability requirements” in SyRS/SRS content).</t>
  </si>
  <si>
    <t>Appears as a system quality characteristic / non‑functional requirement (e.g., usability requirements in operational quality)</t>
  </si>
  <si>
    <t>Treated as a software product quality / non-functional requirement category (usability requirements).</t>
  </si>
  <si>
    <t>Usability (top‑level product quality characteristic with sub‑characteristics such as learnability, operability, user error protection, accessibility).</t>
  </si>
  <si>
    <t>Usability as a quality factor, with sub‑factors like ease of learning, operability, understandability, communicativeness.</t>
  </si>
  <si>
    <t>Not a requirement‑statement quality; appears as a type of requirement (usability requirement) aligned with ISO 25010 usability.</t>
  </si>
  <si>
    <t>Consistent (no conflicts inside a requirement set, same terms used consistently).</t>
  </si>
  <si>
    <t>Requirement consistency is implied in “consistent with stakeholder needs and architecture” but not enumerated as a named requirement attribute.</t>
  </si>
  <si>
    <t>Implied consistency within and between software requirements and higher‑level requirements, but not named as a standalone attribute.</t>
  </si>
  <si>
    <t>No explicit “consistency” characteristic. However related concepts appear under Compatibility (interoperability, coexistence) and Usability (consistent UI etc.).</t>
  </si>
  <si>
    <t>Not a named quality but is implied under correctness or reliability metrics.</t>
  </si>
  <si>
    <t>Consistent (no conflicts among requirements; homogeneous terminology across the set).</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</si>
</sst>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b/>
      <color theme="1"/>
      <name val="Arial"/>
      <scheme val="minor"/>
    </font>
    <font>
      <b/>
      <color rgb="FFFF0000"/>
      <name val="Arial"/>
      <scheme val="minor"/>
    </font>
    <font>
      <b/>
      <color rgb="FF351C75"/>
      <name val="Arial"/>
      <scheme val="minor"/>
    </font>
    <font>
      <color rgb="FFFFFFFF"/>
      <name val="Arial"/>
      <scheme val="minor"/>
    </font>
    <font>
      <u/>
      <color rgb="FF0000FF"/>
    </font>
    <font>
      <u/>
      <color rgb="FF0000FF"/>
    </font>
    <font>
      <u/>
      <color rgb="FF0000FF"/>
    </font>
    <font>
      <u/>
      <color rgb="FF0000FF"/>
    </font>
    <font>
      <color theme="1"/>
      <name val="Arial"/>
    </font>
    <font>
      <sz val="10.0"/>
      <color rgb="FF000000"/>
      <name val="Arial"/>
    </font>
    <font>
      <sz val="11.0"/>
      <color theme="1"/>
      <name val="Arial"/>
    </font>
    <font>
      <sz val="12.0"/>
      <color theme="1"/>
      <name val="Arial"/>
    </font>
    <font>
      <sz val="11.0"/>
      <color theme="1"/>
      <name val="Arial"/>
      <scheme val="minor"/>
    </font>
    <font>
      <sz val="12.0"/>
      <color theme="1"/>
      <name val="PplxSerif"/>
    </font>
    <font>
      <b/>
      <color theme="1"/>
      <name val="Arial"/>
    </font>
    <font>
      <sz val="11.0"/>
      <color theme="1"/>
      <name val="PplxSans"/>
    </font>
    <font>
      <color theme="1"/>
      <name val="PplxSans"/>
    </font>
  </fonts>
  <fills count="9">
    <fill>
      <patternFill patternType="none"/>
    </fill>
    <fill>
      <patternFill patternType="lightGray"/>
    </fill>
    <fill>
      <patternFill patternType="solid">
        <fgColor rgb="FF6D9EEB"/>
        <bgColor rgb="FF6D9EEB"/>
      </patternFill>
    </fill>
    <fill>
      <patternFill patternType="solid">
        <fgColor rgb="FFEA9999"/>
        <bgColor rgb="FFEA9999"/>
      </patternFill>
    </fill>
    <fill>
      <patternFill patternType="solid">
        <fgColor rgb="FFCCCCCC"/>
        <bgColor rgb="FFCCCCCC"/>
      </patternFill>
    </fill>
    <fill>
      <patternFill patternType="solid">
        <fgColor rgb="FF6AA84F"/>
        <bgColor rgb="FF6AA84F"/>
      </patternFill>
    </fill>
    <fill>
      <patternFill patternType="solid">
        <fgColor rgb="FFFFFFFF"/>
        <bgColor rgb="FFFFFFFF"/>
      </patternFill>
    </fill>
    <fill>
      <patternFill patternType="solid">
        <fgColor rgb="FFB7B7B7"/>
        <bgColor rgb="FFB7B7B7"/>
      </patternFill>
    </fill>
    <fill>
      <patternFill patternType="solid">
        <fgColor rgb="FF93C47D"/>
        <bgColor rgb="FF93C47D"/>
      </patternFill>
    </fill>
  </fills>
  <borders count="3">
    <border/>
    <border>
      <bottom style="thin">
        <color rgb="FF000000"/>
      </bottom>
    </border>
    <border>
      <right style="thin">
        <color rgb="FF000000"/>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2" fontId="2" numFmtId="0" xfId="0" applyAlignment="1" applyFill="1" applyFont="1">
      <alignment horizontal="center" readingOrder="0" shrinkToFit="0" vertical="bottom" wrapText="1"/>
    </xf>
    <xf borderId="0" fillId="3" fontId="2" numFmtId="0" xfId="0" applyAlignment="1" applyFill="1" applyFont="1">
      <alignment horizontal="center" readingOrder="0" shrinkToFit="0" wrapText="1"/>
    </xf>
    <xf borderId="0" fillId="4" fontId="1" numFmtId="0" xfId="0" applyAlignment="1" applyFill="1" applyFont="1">
      <alignment readingOrder="0"/>
    </xf>
    <xf borderId="0" fillId="4" fontId="2" numFmtId="0" xfId="0" applyAlignment="1" applyFont="1">
      <alignment horizontal="center" readingOrder="0"/>
    </xf>
    <xf borderId="0" fillId="4" fontId="2" numFmtId="0" xfId="0" applyAlignment="1" applyFont="1">
      <alignment horizontal="center" readingOrder="0" shrinkToFit="0" wrapText="1"/>
    </xf>
    <xf borderId="0" fillId="4" fontId="3" numFmtId="0" xfId="0" applyAlignment="1" applyFont="1">
      <alignment horizontal="center" readingOrder="0" shrinkToFit="0" wrapText="1"/>
    </xf>
    <xf borderId="0" fillId="4" fontId="1" numFmtId="0" xfId="0" applyFont="1"/>
    <xf borderId="0" fillId="4" fontId="4" numFmtId="0" xfId="0" applyAlignment="1" applyFont="1">
      <alignment horizontal="center" readingOrder="0" shrinkToFit="0" wrapText="1"/>
    </xf>
    <xf borderId="0" fillId="5" fontId="5" numFmtId="0" xfId="0" applyAlignment="1" applyFill="1" applyFont="1">
      <alignment readingOrder="0"/>
    </xf>
    <xf borderId="0" fillId="5" fontId="1" numFmtId="0" xfId="0" applyFont="1"/>
    <xf borderId="0" fillId="0" fontId="6" numFmtId="0" xfId="0" applyAlignment="1" applyFont="1">
      <alignment readingOrder="0" shrinkToFit="0" wrapText="0"/>
    </xf>
    <xf borderId="0" fillId="0" fontId="1" numFmtId="0" xfId="0" applyAlignment="1" applyFont="1">
      <alignment horizontal="center" readingOrder="0" shrinkToFit="0" wrapText="0"/>
    </xf>
    <xf borderId="0" fillId="0" fontId="1" numFmtId="2" xfId="0" applyAlignment="1" applyFont="1" applyNumberFormat="1">
      <alignment horizontal="center"/>
    </xf>
    <xf borderId="0" fillId="0" fontId="1" numFmtId="0" xfId="0" applyAlignment="1" applyFont="1">
      <alignment horizontal="center" readingOrder="0"/>
    </xf>
    <xf borderId="0" fillId="0" fontId="7" numFmtId="0" xfId="0" applyAlignment="1" applyFont="1">
      <alignment readingOrder="0"/>
    </xf>
    <xf borderId="0" fillId="0" fontId="1" numFmtId="0" xfId="0" applyAlignment="1" applyFont="1">
      <alignment readingOrder="0" shrinkToFit="0" wrapText="0"/>
    </xf>
    <xf borderId="0" fillId="0" fontId="8" numFmtId="0" xfId="0" applyAlignment="1" applyFont="1">
      <alignment readingOrder="0"/>
    </xf>
    <xf borderId="0" fillId="0" fontId="9" numFmtId="0" xfId="0" applyAlignment="1" applyFont="1">
      <alignment readingOrder="0" shrinkToFit="0" wrapText="0"/>
    </xf>
    <xf borderId="0" fillId="0" fontId="1" numFmtId="0" xfId="0" applyAlignment="1" applyFont="1">
      <alignment horizontal="center" readingOrder="0" shrinkToFit="0" wrapText="0"/>
    </xf>
    <xf borderId="0" fillId="5" fontId="1" numFmtId="0" xfId="0" applyAlignment="1" applyFont="1">
      <alignment horizontal="center"/>
    </xf>
    <xf borderId="0" fillId="5" fontId="5" numFmtId="0" xfId="0" applyFont="1"/>
    <xf borderId="0" fillId="5" fontId="5" numFmtId="0" xfId="0" applyAlignment="1" applyFont="1">
      <alignment horizontal="center"/>
    </xf>
    <xf borderId="0" fillId="0" fontId="1" numFmtId="2" xfId="0" applyAlignment="1" applyFont="1" applyNumberFormat="1">
      <alignment horizontal="center" readingOrder="0"/>
    </xf>
    <xf borderId="0" fillId="0" fontId="10" numFmtId="0" xfId="0" applyAlignment="1" applyFont="1">
      <alignment horizontal="center" vertical="bottom"/>
    </xf>
    <xf borderId="0" fillId="0" fontId="10" numFmtId="0" xfId="0" applyAlignment="1" applyFont="1">
      <alignment vertical="bottom"/>
    </xf>
    <xf borderId="0" fillId="0" fontId="11" numFmtId="0" xfId="0" applyAlignment="1" applyFont="1">
      <alignment readingOrder="0"/>
    </xf>
    <xf borderId="0" fillId="0" fontId="1" numFmtId="0" xfId="0" applyAlignment="1" applyFont="1">
      <alignment horizontal="center"/>
    </xf>
    <xf borderId="0" fillId="0" fontId="10" numFmtId="0" xfId="0" applyAlignment="1" applyFont="1">
      <alignment horizontal="left" vertical="bottom"/>
    </xf>
    <xf borderId="0" fillId="0" fontId="2" numFmtId="0" xfId="0" applyAlignment="1" applyFont="1">
      <alignment horizontal="center" readingOrder="0" shrinkToFit="0" wrapText="1"/>
    </xf>
    <xf borderId="0" fillId="0" fontId="1" numFmtId="0" xfId="0" applyFont="1"/>
    <xf borderId="0" fillId="0" fontId="2" numFmtId="49" xfId="0" applyAlignment="1" applyFont="1" applyNumberFormat="1">
      <alignment horizontal="center" readingOrder="0"/>
    </xf>
    <xf borderId="0" fillId="0" fontId="1" numFmtId="49" xfId="0" applyAlignment="1" applyFont="1" applyNumberFormat="1">
      <alignment horizontal="center" readingOrder="0"/>
    </xf>
    <xf borderId="0" fillId="5" fontId="2" numFmtId="0" xfId="0" applyAlignment="1" applyFont="1">
      <alignment horizontal="center" readingOrder="0"/>
    </xf>
    <xf borderId="0" fillId="6" fontId="2" numFmtId="0" xfId="0" applyAlignment="1" applyFill="1" applyFont="1">
      <alignment horizontal="center" readingOrder="0"/>
    </xf>
    <xf borderId="0" fillId="7" fontId="2" numFmtId="0" xfId="0" applyAlignment="1" applyFill="1" applyFont="1">
      <alignment horizontal="center" readingOrder="0"/>
    </xf>
    <xf borderId="0" fillId="0" fontId="12" numFmtId="0" xfId="0" applyAlignment="1" applyFont="1">
      <alignment readingOrder="0"/>
    </xf>
    <xf borderId="0" fillId="0" fontId="13" numFmtId="0" xfId="0" applyAlignment="1" applyFont="1">
      <alignment readingOrder="0" shrinkToFit="0" wrapText="1"/>
    </xf>
    <xf borderId="0" fillId="0" fontId="14" numFmtId="0" xfId="0" applyAlignment="1" applyFont="1">
      <alignment readingOrder="0" shrinkToFit="0" wrapText="1"/>
    </xf>
    <xf borderId="0" fillId="6" fontId="2" numFmtId="0" xfId="0" applyAlignment="1" applyFont="1">
      <alignment horizontal="center" readingOrder="0" shrinkToFit="0" wrapText="1"/>
    </xf>
    <xf borderId="0" fillId="0" fontId="15" numFmtId="0" xfId="0" applyFont="1"/>
    <xf borderId="0" fillId="8" fontId="2" numFmtId="0" xfId="0" applyAlignment="1" applyFill="1" applyFont="1">
      <alignment horizontal="center" readingOrder="0"/>
    </xf>
    <xf borderId="0" fillId="7" fontId="16" numFmtId="0" xfId="0" applyAlignment="1" applyFont="1">
      <alignment horizontal="center" readingOrder="0"/>
    </xf>
    <xf borderId="0" fillId="0" fontId="17" numFmtId="0" xfId="0" applyAlignment="1" applyFont="1">
      <alignment readingOrder="0" shrinkToFit="0" wrapText="1"/>
    </xf>
    <xf borderId="0" fillId="0" fontId="17" numFmtId="0" xfId="0" applyAlignment="1" applyFont="1">
      <alignment readingOrder="0" shrinkToFit="0" wrapText="0"/>
    </xf>
    <xf borderId="0" fillId="0" fontId="12" numFmtId="0" xfId="0" applyAlignment="1" applyFont="1">
      <alignment readingOrder="0" shrinkToFit="0" wrapText="1"/>
    </xf>
    <xf borderId="0" fillId="0" fontId="18" numFmtId="0" xfId="0" applyAlignment="1" applyFont="1">
      <alignment readingOrder="0" shrinkToFit="0" wrapText="1"/>
    </xf>
    <xf borderId="1" fillId="0" fontId="18" numFmtId="0" xfId="0" applyAlignment="1" applyBorder="1" applyFont="1">
      <alignment readingOrder="0" shrinkToFit="0" wrapText="1"/>
    </xf>
    <xf borderId="1" fillId="0" fontId="10" numFmtId="0" xfId="0" applyAlignment="1" applyBorder="1" applyFont="1">
      <alignment readingOrder="0" shrinkToFit="0" wrapText="1"/>
    </xf>
    <xf borderId="2" fillId="0" fontId="10" numFmtId="0" xfId="0" applyAlignment="1" applyBorder="1" applyFont="1">
      <alignment readingOrder="0" shrinkToFit="0" wrapText="1"/>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Plot!$C$2</c:f>
            </c:strRef>
          </c:tx>
          <c:spPr>
            <a:ln>
              <a:noFill/>
            </a:ln>
          </c:spPr>
          <c:marker>
            <c:symbol val="circle"/>
            <c:size val="6"/>
            <c:spPr>
              <a:solidFill>
                <a:schemeClr val="accent1"/>
              </a:solidFill>
              <a:ln cmpd="sng">
                <a:solidFill>
                  <a:schemeClr val="accent1"/>
                </a:solidFill>
              </a:ln>
            </c:spPr>
          </c:marker>
          <c:dPt>
            <c:idx val="3"/>
            <c:marker>
              <c:symbol val="none"/>
            </c:marker>
          </c:dPt>
          <c:dPt>
            <c:idx val="4"/>
            <c:marker>
              <c:symbol val="none"/>
            </c:marker>
          </c:dPt>
          <c:dPt>
            <c:idx val="5"/>
            <c:marker>
              <c:symbol val="none"/>
            </c:marker>
          </c:dPt>
          <c:trendline>
            <c:name/>
            <c:spPr>
              <a:ln w="19050">
                <a:solidFill>
                  <a:srgbClr val="4285F4">
                    <a:alpha val="60000"/>
                  </a:srgbClr>
                </a:solidFill>
              </a:ln>
            </c:spPr>
            <c:trendlineType val="linear"/>
            <c:dispRSqr val="0"/>
            <c:dispEq val="0"/>
          </c:trendline>
          <c:xVal>
            <c:numRef>
              <c:f>Plot!$B$3:$B$60</c:f>
            </c:numRef>
          </c:xVal>
          <c:yVal>
            <c:numRef>
              <c:f>Plot!$C$3:$C$60</c:f>
              <c:numCache/>
            </c:numRef>
          </c:yVal>
        </c:ser>
        <c:ser>
          <c:idx val="1"/>
          <c:order val="1"/>
          <c:tx>
            <c:strRef>
              <c:f>Plot!$D$2</c:f>
            </c:strRef>
          </c:tx>
          <c:spPr>
            <a:ln>
              <a:noFill/>
            </a:ln>
          </c:spPr>
          <c:marker>
            <c:symbol val="circle"/>
            <c:size val="6"/>
            <c:spPr>
              <a:solidFill>
                <a:schemeClr val="accent2"/>
              </a:solidFill>
              <a:ln cmpd="sng">
                <a:solidFill>
                  <a:schemeClr val="accent2"/>
                </a:solidFill>
              </a:ln>
            </c:spPr>
          </c:marker>
          <c:trendline>
            <c:name/>
            <c:spPr>
              <a:ln w="19050">
                <a:solidFill>
                  <a:srgbClr val="EA4335">
                    <a:alpha val="60000"/>
                  </a:srgbClr>
                </a:solidFill>
              </a:ln>
            </c:spPr>
            <c:trendlineType val="linear"/>
            <c:dispRSqr val="0"/>
            <c:dispEq val="0"/>
          </c:trendline>
          <c:xVal>
            <c:numRef>
              <c:f>Plot!$B$3:$B$60</c:f>
            </c:numRef>
          </c:xVal>
          <c:yVal>
            <c:numRef>
              <c:f>Plot!$D$3:$D$60</c:f>
              <c:numCache/>
            </c:numRef>
          </c:yVal>
        </c:ser>
        <c:ser>
          <c:idx val="2"/>
          <c:order val="2"/>
          <c:tx>
            <c:strRef>
              <c:f>Plot!$E$2</c:f>
            </c:strRef>
          </c:tx>
          <c:spPr>
            <a:ln>
              <a:noFill/>
            </a:ln>
          </c:spPr>
          <c:marker>
            <c:symbol val="circle"/>
            <c:size val="6"/>
            <c:spPr>
              <a:solidFill>
                <a:schemeClr val="accent3"/>
              </a:solidFill>
              <a:ln cmpd="sng">
                <a:solidFill>
                  <a:schemeClr val="accent3"/>
                </a:solidFill>
              </a:ln>
            </c:spPr>
          </c:marker>
          <c:trendline>
            <c:name/>
            <c:spPr>
              <a:ln w="19050">
                <a:solidFill>
                  <a:srgbClr val="FBBC04">
                    <a:alpha val="60000"/>
                  </a:srgbClr>
                </a:solidFill>
              </a:ln>
            </c:spPr>
            <c:trendlineType val="linear"/>
            <c:dispRSqr val="0"/>
            <c:dispEq val="0"/>
          </c:trendline>
          <c:xVal>
            <c:numRef>
              <c:f>Plot!$B$3:$B$60</c:f>
            </c:numRef>
          </c:xVal>
          <c:yVal>
            <c:numRef>
              <c:f>Plot!$E$3:$E$60</c:f>
              <c:numCache/>
            </c:numRef>
          </c:yVal>
        </c:ser>
        <c:ser>
          <c:idx val="3"/>
          <c:order val="3"/>
          <c:tx>
            <c:strRef>
              <c:f>Plot!$C$2</c:f>
            </c:strRef>
          </c:tx>
          <c:spPr>
            <a:ln>
              <a:noFill/>
            </a:ln>
          </c:spPr>
          <c:marker>
            <c:symbol val="circle"/>
            <c:size val="6"/>
            <c:spPr>
              <a:solidFill>
                <a:schemeClr val="accent4"/>
              </a:solidFill>
              <a:ln cmpd="sng">
                <a:solidFill>
                  <a:schemeClr val="accent4"/>
                </a:solidFill>
              </a:ln>
            </c:spPr>
          </c:marker>
          <c:trendline>
            <c:name/>
            <c:spPr>
              <a:ln w="19050">
                <a:solidFill>
                  <a:srgbClr val="34A853">
                    <a:alpha val="60000"/>
                  </a:srgbClr>
                </a:solidFill>
              </a:ln>
            </c:spPr>
            <c:trendlineType val="linear"/>
            <c:dispRSqr val="0"/>
            <c:dispEq val="0"/>
          </c:trendline>
          <c:xVal>
            <c:numRef>
              <c:f>Plot!$B$3:$B$60</c:f>
            </c:numRef>
          </c:xVal>
          <c:yVal>
            <c:numRef>
              <c:f>Plot!$C$3:$C$60</c:f>
              <c:numCache/>
            </c:numRef>
          </c:yVal>
        </c:ser>
        <c:ser>
          <c:idx val="4"/>
          <c:order val="4"/>
          <c:tx>
            <c:strRef>
              <c:f>Plot!$F$2</c:f>
            </c:strRef>
          </c:tx>
          <c:spPr>
            <a:ln>
              <a:noFill/>
            </a:ln>
          </c:spPr>
          <c:marker>
            <c:symbol val="circle"/>
            <c:size val="6"/>
            <c:spPr>
              <a:solidFill>
                <a:schemeClr val="accent5"/>
              </a:solidFill>
              <a:ln cmpd="sng">
                <a:solidFill>
                  <a:schemeClr val="accent5"/>
                </a:solidFill>
              </a:ln>
            </c:spPr>
          </c:marker>
          <c:trendline>
            <c:name/>
            <c:spPr>
              <a:ln w="19050">
                <a:solidFill>
                  <a:srgbClr val="FF6D01">
                    <a:alpha val="60000"/>
                  </a:srgbClr>
                </a:solidFill>
              </a:ln>
            </c:spPr>
            <c:trendlineType val="linear"/>
            <c:dispRSqr val="0"/>
            <c:dispEq val="0"/>
          </c:trendline>
          <c:xVal>
            <c:numRef>
              <c:f>Plot!$B$3:$B$60</c:f>
            </c:numRef>
          </c:xVal>
          <c:yVal>
            <c:numRef>
              <c:f>Plot!$F$3:$F$60</c:f>
              <c:numCache/>
            </c:numRef>
          </c:yVal>
        </c:ser>
        <c:dLbls>
          <c:showLegendKey val="0"/>
          <c:showVal val="0"/>
          <c:showCatName val="0"/>
          <c:showSerName val="0"/>
          <c:showPercent val="0"/>
          <c:showBubbleSize val="0"/>
        </c:dLbls>
        <c:axId val="70115393"/>
        <c:axId val="548210735"/>
      </c:scatterChart>
      <c:valAx>
        <c:axId val="70115393"/>
        <c:scaling>
          <c:orientation val="minMax"/>
          <c:max val="4.3"/>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Arial"/>
                  </a:defRPr>
                </a:pPr>
                <a:r>
                  <a:rPr b="0" sz="1400">
                    <a:solidFill>
                      <a:srgbClr val="000000"/>
                    </a:solidFill>
                    <a:latin typeface="Arial"/>
                  </a:rPr>
                  <a:t>Average Quality (combined)</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548210735"/>
      </c:valAx>
      <c:valAx>
        <c:axId val="548210735"/>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Arial"/>
                  </a:defRPr>
                </a:pPr>
                <a:r>
                  <a:rPr b="0" sz="1400">
                    <a:solidFill>
                      <a:srgbClr val="000000"/>
                    </a:solidFill>
                    <a:latin typeface="Arial"/>
                  </a:rPr>
                  <a:t>Average Correctness</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70115393"/>
      </c:valAx>
    </c:plotArea>
    <c:legend>
      <c:legendPos val="b"/>
      <c:overlay val="0"/>
      <c:txPr>
        <a:bodyPr/>
        <a:lstStyle/>
        <a:p>
          <a:pPr lvl="0">
            <a:defRPr b="0" i="0">
              <a:solidFill>
                <a:srgbClr val="1A1A1A"/>
              </a:solidFill>
              <a:latin typeface="Arial"/>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514350</xdr:colOff>
      <xdr:row>5</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isselab/2025-models-prompt-engineering-results/blob/main/experiment_samples/cycle_2/prompt_entry_531.txt" TargetMode="External"/><Relationship Id="rId42" Type="http://schemas.openxmlformats.org/officeDocument/2006/relationships/hyperlink" Target="https://github.com/isselab/2025-models-prompt-engineering-results/blob/main/experiment_samples/cycle_3/prompt_entry_58.txt" TargetMode="External"/><Relationship Id="rId41" Type="http://schemas.openxmlformats.org/officeDocument/2006/relationships/hyperlink" Target="https://github.com/isselab/2025-models-prompt-engineering-results/blob/main/experiment_samples/cycle_3/mrq_entry_58.txt" TargetMode="External"/><Relationship Id="rId44" Type="http://schemas.openxmlformats.org/officeDocument/2006/relationships/hyperlink" Target="https://github.com/isselab/2025-models-prompt-engineering-results/blob/main/experiment_samples/cycle_3/prompt_entry_77.txt" TargetMode="External"/><Relationship Id="rId43" Type="http://schemas.openxmlformats.org/officeDocument/2006/relationships/hyperlink" Target="https://github.com/isselab/2025-models-prompt-engineering-results/blob/main/experiment_samples/cycle_3/mrq_entry_77.txt" TargetMode="External"/><Relationship Id="rId46" Type="http://schemas.openxmlformats.org/officeDocument/2006/relationships/hyperlink" Target="https://github.com/isselab/2025-models-prompt-engineering-results/blob/main/experiment_samples/cycle_3/prompt_entry_92.txt" TargetMode="External"/><Relationship Id="rId45" Type="http://schemas.openxmlformats.org/officeDocument/2006/relationships/hyperlink" Target="https://github.com/isselab/2025-models-prompt-engineering-results/blob/main/experiment_samples/cycle_3/mrq_entry_92.txt" TargetMode="External"/><Relationship Id="rId48" Type="http://schemas.openxmlformats.org/officeDocument/2006/relationships/hyperlink" Target="https://github.com/isselab/2025-models-prompt-engineering-results/blob/main/experiment_samples/cycle_3/prompt_entry_124.txt" TargetMode="External"/><Relationship Id="rId47" Type="http://schemas.openxmlformats.org/officeDocument/2006/relationships/hyperlink" Target="https://github.com/isselab/2025-models-prompt-engineering-results/blob/main/experiment_samples/cycle_3/mrq_entry_124.txt" TargetMode="External"/><Relationship Id="rId49" Type="http://schemas.openxmlformats.org/officeDocument/2006/relationships/hyperlink" Target="https://github.com/isselab/2025-models-prompt-engineering-results/blob/main/experiment_samples/cycle_3/mrq_entry_155.txt" TargetMode="External"/><Relationship Id="rId101" Type="http://schemas.openxmlformats.org/officeDocument/2006/relationships/drawing" Target="../drawings/drawing1.xml"/><Relationship Id="rId100" Type="http://schemas.openxmlformats.org/officeDocument/2006/relationships/hyperlink" Target="https://github.com/isselab/2025-models-prompt-engineering-results/blob/main/experiment_samples/cycle_5/prompt_entry_584.txt" TargetMode="External"/><Relationship Id="rId31" Type="http://schemas.openxmlformats.org/officeDocument/2006/relationships/hyperlink" Target="https://github.com/isselab/2025-models-prompt-engineering-results/blob/main/experiment_samples/cycle_2/mrq_entry_475.txt" TargetMode="External"/><Relationship Id="rId30" Type="http://schemas.openxmlformats.org/officeDocument/2006/relationships/hyperlink" Target="https://github.com/isselab/2025-models-prompt-engineering-results/blob/main/experiment_samples/cycle_2/prompt_entry_451.txt" TargetMode="External"/><Relationship Id="rId33" Type="http://schemas.openxmlformats.org/officeDocument/2006/relationships/hyperlink" Target="https://github.com/isselab/2025-models-prompt-engineering-results/blob/main/experiment_samples/cycle_2/mrq_entry_50.txt" TargetMode="External"/><Relationship Id="rId32" Type="http://schemas.openxmlformats.org/officeDocument/2006/relationships/hyperlink" Target="https://github.com/isselab/2025-models-prompt-engineering-results/blob/main/experiment_samples/cycle_2/prompt_entry_475.txt" TargetMode="External"/><Relationship Id="rId35" Type="http://schemas.openxmlformats.org/officeDocument/2006/relationships/hyperlink" Target="https://github.com/isselab/2025-models-prompt-engineering-results/blob/main/experiment_samples/cycle_2/mrq_entry_511.txt" TargetMode="External"/><Relationship Id="rId34" Type="http://schemas.openxmlformats.org/officeDocument/2006/relationships/hyperlink" Target="https://github.com/isselab/2025-models-prompt-engineering-results/blob/main/experiment_samples/cycle_2/prompt_entry_50.txt" TargetMode="External"/><Relationship Id="rId37" Type="http://schemas.openxmlformats.org/officeDocument/2006/relationships/hyperlink" Target="https://github.com/isselab/2025-models-prompt-engineering-results/blob/main/experiment_samples/cycle_2/mrq_entry_529.txt" TargetMode="External"/><Relationship Id="rId36" Type="http://schemas.openxmlformats.org/officeDocument/2006/relationships/hyperlink" Target="https://github.com/isselab/2025-models-prompt-engineering-results/blob/main/experiment_samples/cycle_2/prompt_entry_511.txt" TargetMode="External"/><Relationship Id="rId39" Type="http://schemas.openxmlformats.org/officeDocument/2006/relationships/hyperlink" Target="https://github.com/isselab/2025-models-prompt-engineering-results/blob/main/experiment_samples/cycle_2/mrq_entry_531.txt" TargetMode="External"/><Relationship Id="rId38" Type="http://schemas.openxmlformats.org/officeDocument/2006/relationships/hyperlink" Target="https://github.com/isselab/2025-models-prompt-engineering-results/blob/main/experiment_samples/cycle_2/prompt_entry_529.txt" TargetMode="External"/><Relationship Id="rId20" Type="http://schemas.openxmlformats.org/officeDocument/2006/relationships/hyperlink" Target="https://github.com/isselab/2025-models-prompt-engineering-results/blob/main/experiment_samples/cycle_1/prompt_entry_540.txt" TargetMode="External"/><Relationship Id="rId22" Type="http://schemas.openxmlformats.org/officeDocument/2006/relationships/hyperlink" Target="https://github.com/isselab/2025-models-prompt-engineering-results/blob/main/experiment_samples/cycle_2/prompt_entry_150.txt" TargetMode="External"/><Relationship Id="rId21" Type="http://schemas.openxmlformats.org/officeDocument/2006/relationships/hyperlink" Target="https://github.com/isselab/2025-models-prompt-engineering-results/blob/main/experiment_samples/cycle_2/mrq_entry_150.txt" TargetMode="External"/><Relationship Id="rId24" Type="http://schemas.openxmlformats.org/officeDocument/2006/relationships/hyperlink" Target="https://github.com/isselab/2025-models-prompt-engineering-results/blob/main/experiment_samples/cycle_2/prompt_entry_220.txt" TargetMode="External"/><Relationship Id="rId23" Type="http://schemas.openxmlformats.org/officeDocument/2006/relationships/hyperlink" Target="https://github.com/isselab/2025-models-prompt-engineering-results/blob/main/experiment_samples/cycle_2/mrq_entry_220.txt" TargetMode="External"/><Relationship Id="rId26" Type="http://schemas.openxmlformats.org/officeDocument/2006/relationships/hyperlink" Target="https://github.com/isselab/2025-models-prompt-engineering-results/blob/main/experiment_samples/cycle_2/prompt_entry_272.txt" TargetMode="External"/><Relationship Id="rId25" Type="http://schemas.openxmlformats.org/officeDocument/2006/relationships/hyperlink" Target="https://github.com/isselab/2025-models-prompt-engineering-results/blob/main/experiment_samples/cycle_2/mrq_entry_272.txt" TargetMode="External"/><Relationship Id="rId28" Type="http://schemas.openxmlformats.org/officeDocument/2006/relationships/hyperlink" Target="https://github.com/isselab/2025-models-prompt-engineering-results/blob/main/experiment_samples/cycle_2/prompt_entry_418.txt" TargetMode="External"/><Relationship Id="rId27" Type="http://schemas.openxmlformats.org/officeDocument/2006/relationships/hyperlink" Target="https://github.com/isselab/2025-models-prompt-engineering-results/blob/main/experiment_samples/cycle_2/mrq_entry_418.txt" TargetMode="External"/><Relationship Id="rId29" Type="http://schemas.openxmlformats.org/officeDocument/2006/relationships/hyperlink" Target="https://github.com/isselab/2025-models-prompt-engineering-results/blob/main/experiment_samples/cycle_2/mrq_entry_451.txt" TargetMode="External"/><Relationship Id="rId95" Type="http://schemas.openxmlformats.org/officeDocument/2006/relationships/hyperlink" Target="https://github.com/isselab/2025-models-prompt-engineering-results/blob/main/experiment_samples/cycle_5/mrq_entry_515.txt" TargetMode="External"/><Relationship Id="rId94" Type="http://schemas.openxmlformats.org/officeDocument/2006/relationships/hyperlink" Target="https://github.com/isselab/2025-models-prompt-engineering-results/blob/main/experiment_samples/cycle_5/prompt_entry_493.txt" TargetMode="External"/><Relationship Id="rId97" Type="http://schemas.openxmlformats.org/officeDocument/2006/relationships/hyperlink" Target="https://github.com/isselab/2025-models-prompt-engineering-results/blob/main/experiment_samples/cycle_5/mrq_entry_549.txt" TargetMode="External"/><Relationship Id="rId96" Type="http://schemas.openxmlformats.org/officeDocument/2006/relationships/hyperlink" Target="https://github.com/isselab/2025-models-prompt-engineering-results/blob/main/experiment_samples/cycle_5/prompt_entry_515.txt" TargetMode="External"/><Relationship Id="rId11" Type="http://schemas.openxmlformats.org/officeDocument/2006/relationships/hyperlink" Target="https://github.com/isselab/2025-models-prompt-engineering-results/blob/main/experiment_samples/cycle_1/mrq_entry_375.txt" TargetMode="External"/><Relationship Id="rId99" Type="http://schemas.openxmlformats.org/officeDocument/2006/relationships/hyperlink" Target="https://github.com/isselab/2025-models-prompt-engineering-results/blob/main/experiment_samples/cycle_5/mrq_entry_584.txt" TargetMode="External"/><Relationship Id="rId10" Type="http://schemas.openxmlformats.org/officeDocument/2006/relationships/hyperlink" Target="https://github.com/isselab/2025-models-prompt-engineering-results/blob/main/experiment_samples/cycle_1/prompt_entry_317.txt" TargetMode="External"/><Relationship Id="rId98" Type="http://schemas.openxmlformats.org/officeDocument/2006/relationships/hyperlink" Target="https://github.com/isselab/2025-models-prompt-engineering-results/blob/main/experiment_samples/cycle_5/prompt_entry_549.txt" TargetMode="External"/><Relationship Id="rId13" Type="http://schemas.openxmlformats.org/officeDocument/2006/relationships/hyperlink" Target="https://github.com/isselab/2025-models-prompt-engineering-results/blob/main/experiment_samples/cycle_1/mrq_entry_411.txt" TargetMode="External"/><Relationship Id="rId12" Type="http://schemas.openxmlformats.org/officeDocument/2006/relationships/hyperlink" Target="https://github.com/isselab/2025-models-prompt-engineering-results/blob/main/experiment_samples/cycle_1/prompt_entry_375.txt" TargetMode="External"/><Relationship Id="rId91" Type="http://schemas.openxmlformats.org/officeDocument/2006/relationships/hyperlink" Target="https://github.com/isselab/2025-models-prompt-engineering-results/blob/main/experiment_samples/cycle_5/mrq_entry_432.txt" TargetMode="External"/><Relationship Id="rId90" Type="http://schemas.openxmlformats.org/officeDocument/2006/relationships/hyperlink" Target="https://github.com/isselab/2025-models-prompt-engineering-results/blob/main/experiment_samples/cycle_5/prompt_entry_371.txt" TargetMode="External"/><Relationship Id="rId93" Type="http://schemas.openxmlformats.org/officeDocument/2006/relationships/hyperlink" Target="https://github.com/isselab/2025-models-prompt-engineering-results/blob/main/experiment_samples/cycle_5/mrq_entry_493.txt" TargetMode="External"/><Relationship Id="rId92" Type="http://schemas.openxmlformats.org/officeDocument/2006/relationships/hyperlink" Target="https://github.com/isselab/2025-models-prompt-engineering-results/blob/main/experiment_samples/cycle_5/prompt_entry_432.txt" TargetMode="External"/><Relationship Id="rId15" Type="http://schemas.openxmlformats.org/officeDocument/2006/relationships/hyperlink" Target="https://github.com/isselab/2025-models-prompt-engineering-results/blob/main/experiment_samples/cycle_1/mrq_entry_457.txt" TargetMode="External"/><Relationship Id="rId14" Type="http://schemas.openxmlformats.org/officeDocument/2006/relationships/hyperlink" Target="https://github.com/isselab/2025-models-prompt-engineering-results/blob/main/experiment_samples/cycle_1/prompt_entry_411.txt" TargetMode="External"/><Relationship Id="rId17" Type="http://schemas.openxmlformats.org/officeDocument/2006/relationships/hyperlink" Target="https://github.com/isselab/2025-models-prompt-engineering-results/blob/main/experiment_samples/cycle_1/mrq_entry_467.txt" TargetMode="External"/><Relationship Id="rId16" Type="http://schemas.openxmlformats.org/officeDocument/2006/relationships/hyperlink" Target="https://github.com/isselab/2025-models-prompt-engineering-results/blob/main/experiment_samples/cycle_1/prompt_entry_457.txt" TargetMode="External"/><Relationship Id="rId19" Type="http://schemas.openxmlformats.org/officeDocument/2006/relationships/hyperlink" Target="https://github.com/isselab/2025-models-prompt-engineering-results/blob/main/experiment_samples/cycle_1/mrq_entry_540.txt" TargetMode="External"/><Relationship Id="rId18" Type="http://schemas.openxmlformats.org/officeDocument/2006/relationships/hyperlink" Target="https://github.com/isselab/2025-models-prompt-engineering-results/blob/main/experiment_samples/cycle_1/prompt_entry_467.txt" TargetMode="External"/><Relationship Id="rId84" Type="http://schemas.openxmlformats.org/officeDocument/2006/relationships/hyperlink" Target="https://github.com/isselab/2025-models-prompt-engineering-results/blob/main/experiment_samples/cycle_5/prompt_entry_108.txt" TargetMode="External"/><Relationship Id="rId83" Type="http://schemas.openxmlformats.org/officeDocument/2006/relationships/hyperlink" Target="https://github.com/isselab/2025-models-prompt-engineering-results/blob/main/experiment_samples/cycle_5/mrq_entry_108.txt" TargetMode="External"/><Relationship Id="rId86" Type="http://schemas.openxmlformats.org/officeDocument/2006/relationships/hyperlink" Target="https://github.com/isselab/2025-models-prompt-engineering-results/blob/main/experiment_samples/cycle_5/prompt_entry_109.txt" TargetMode="External"/><Relationship Id="rId85" Type="http://schemas.openxmlformats.org/officeDocument/2006/relationships/hyperlink" Target="https://github.com/isselab/2025-models-prompt-engineering-results/blob/main/experiment_samples/cycle_5/mrq_entry_109.txt" TargetMode="External"/><Relationship Id="rId88" Type="http://schemas.openxmlformats.org/officeDocument/2006/relationships/hyperlink" Target="https://github.com/isselab/2025-models-prompt-engineering-results/blob/main/experiment_samples/cycle_5/prompt_entry_325.txt" TargetMode="External"/><Relationship Id="rId87" Type="http://schemas.openxmlformats.org/officeDocument/2006/relationships/hyperlink" Target="https://github.com/isselab/2025-models-prompt-engineering-results/blob/main/experiment_samples/cycle_5/mrq_entry_325.txt" TargetMode="External"/><Relationship Id="rId89" Type="http://schemas.openxmlformats.org/officeDocument/2006/relationships/hyperlink" Target="https://github.com/isselab/2025-models-prompt-engineering-results/blob/main/experiment_samples/cycle_5/mrq_entry_371.txt" TargetMode="External"/><Relationship Id="rId80" Type="http://schemas.openxmlformats.org/officeDocument/2006/relationships/hyperlink" Target="https://github.com/isselab/2025-models-prompt-engineering-results/blob/main/experiment_samples/cycle_4/prompt_entry_566.txt" TargetMode="External"/><Relationship Id="rId82" Type="http://schemas.openxmlformats.org/officeDocument/2006/relationships/hyperlink" Target="https://github.com/isselab/2025-models-prompt-engineering-results/blob/main/experiment_samples/cycle_5/prompt_entry_89.txt" TargetMode="External"/><Relationship Id="rId81" Type="http://schemas.openxmlformats.org/officeDocument/2006/relationships/hyperlink" Target="https://github.com/isselab/2025-models-prompt-engineering-results/blob/main/experiment_samples/cycle_5/mrq_entry_89.txt" TargetMode="External"/><Relationship Id="rId1" Type="http://schemas.openxmlformats.org/officeDocument/2006/relationships/hyperlink" Target="https://github.com/isselab/2025-models-prompt-engineering-results/blob/main/experiment_samples/cycle_1/mrq_entry_6.txt" TargetMode="External"/><Relationship Id="rId2" Type="http://schemas.openxmlformats.org/officeDocument/2006/relationships/hyperlink" Target="https://github.com/isselab/2025-models-prompt-engineering-results/blob/main/experiment_samples/cycle_1/prompt_entry_6.txt" TargetMode="External"/><Relationship Id="rId3" Type="http://schemas.openxmlformats.org/officeDocument/2006/relationships/hyperlink" Target="https://github.com/isselab/2025-models-prompt-engineering-results/blob/main/experiment_samples/cycle_1/mrq_entry_64.txt" TargetMode="External"/><Relationship Id="rId4" Type="http://schemas.openxmlformats.org/officeDocument/2006/relationships/hyperlink" Target="https://github.com/isselab/2025-models-prompt-engineering-results/blob/main/experiment_samples/cycle_1/prompt_entry_64.txt" TargetMode="External"/><Relationship Id="rId9" Type="http://schemas.openxmlformats.org/officeDocument/2006/relationships/hyperlink" Target="https://github.com/isselab/2025-models-prompt-engineering-results/blob/main/experiment_samples/cycle_1/mrq_entry_317.txt" TargetMode="External"/><Relationship Id="rId5" Type="http://schemas.openxmlformats.org/officeDocument/2006/relationships/hyperlink" Target="https://github.com/isselab/2025-models-prompt-engineering-results/blob/main/experiment_samples/cycle_1/mrq_entry_73.txt" TargetMode="External"/><Relationship Id="rId6" Type="http://schemas.openxmlformats.org/officeDocument/2006/relationships/hyperlink" Target="https://github.com/isselab/2025-models-prompt-engineering-results/blob/main/experiment_samples/cycle_1/prompt_entry_73.txt" TargetMode="External"/><Relationship Id="rId7" Type="http://schemas.openxmlformats.org/officeDocument/2006/relationships/hyperlink" Target="https://github.com/isselab/2025-models-prompt-engineering-results/blob/main/experiment_samples/cycle_1/mrq_entry_266.txt" TargetMode="External"/><Relationship Id="rId8" Type="http://schemas.openxmlformats.org/officeDocument/2006/relationships/hyperlink" Target="https://github.com/isselab/2025-models-prompt-engineering-results/blob/main/experiment_samples/cycle_1/prompt_entry_266.txt" TargetMode="External"/><Relationship Id="rId73" Type="http://schemas.openxmlformats.org/officeDocument/2006/relationships/hyperlink" Target="https://github.com/isselab/2025-models-prompt-engineering-results/blob/main/experiment_samples/cycle_4/mrq_entry_435.txt" TargetMode="External"/><Relationship Id="rId72" Type="http://schemas.openxmlformats.org/officeDocument/2006/relationships/hyperlink" Target="https://github.com/isselab/2025-models-prompt-engineering-results/blob/main/experiment_samples/cycle_4/prompt_entry_402.txt" TargetMode="External"/><Relationship Id="rId75" Type="http://schemas.openxmlformats.org/officeDocument/2006/relationships/hyperlink" Target="https://github.com/isselab/2025-models-prompt-engineering-results/blob/main/experiment_samples/cycle_4/mrq_entry_440.txt" TargetMode="External"/><Relationship Id="rId74" Type="http://schemas.openxmlformats.org/officeDocument/2006/relationships/hyperlink" Target="https://github.com/isselab/2025-models-prompt-engineering-results/blob/main/experiment_samples/cycle_4/prompt_entry_435.txt" TargetMode="External"/><Relationship Id="rId77" Type="http://schemas.openxmlformats.org/officeDocument/2006/relationships/hyperlink" Target="https://github.com/isselab/2025-models-prompt-engineering-results/blob/main/experiment_samples/cycle_4/mrq_entry_485.txt" TargetMode="External"/><Relationship Id="rId76" Type="http://schemas.openxmlformats.org/officeDocument/2006/relationships/hyperlink" Target="https://github.com/isselab/2025-models-prompt-engineering-results/blob/main/experiment_samples/cycle_4/prompt_entry_440.txt" TargetMode="External"/><Relationship Id="rId79" Type="http://schemas.openxmlformats.org/officeDocument/2006/relationships/hyperlink" Target="https://github.com/isselab/2025-models-prompt-engineering-results/blob/main/experiment_samples/cycle_4/mrq_entry_566.txt" TargetMode="External"/><Relationship Id="rId78" Type="http://schemas.openxmlformats.org/officeDocument/2006/relationships/hyperlink" Target="https://github.com/isselab/2025-models-prompt-engineering-results/blob/main/experiment_samples/cycle_4/prompt_entry_485.txt" TargetMode="External"/><Relationship Id="rId71" Type="http://schemas.openxmlformats.org/officeDocument/2006/relationships/hyperlink" Target="https://github.com/isselab/2025-models-prompt-engineering-results/blob/main/experiment_samples/cycle_4/mrq_entry_402.txt" TargetMode="External"/><Relationship Id="rId70" Type="http://schemas.openxmlformats.org/officeDocument/2006/relationships/hyperlink" Target="https://github.com/isselab/2025-models-prompt-engineering-results/blob/main/experiment_samples/cycle_4/prompt_entry_376.txt" TargetMode="External"/><Relationship Id="rId62" Type="http://schemas.openxmlformats.org/officeDocument/2006/relationships/hyperlink" Target="https://github.com/isselab/2025-models-prompt-engineering-results/blob/main/experiment_samples/cycle_4/prompt_entry_32.txt" TargetMode="External"/><Relationship Id="rId61" Type="http://schemas.openxmlformats.org/officeDocument/2006/relationships/hyperlink" Target="https://github.com/isselab/2025-models-prompt-engineering-results/blob/main/experiment_samples/cycle_4/mrq_entry_32.txt" TargetMode="External"/><Relationship Id="rId64" Type="http://schemas.openxmlformats.org/officeDocument/2006/relationships/hyperlink" Target="https://github.com/isselab/2025-models-prompt-engineering-results/blob/main/experiment_samples/cycle_4/prompt_entry_41.txt" TargetMode="External"/><Relationship Id="rId63" Type="http://schemas.openxmlformats.org/officeDocument/2006/relationships/hyperlink" Target="https://github.com/isselab/2025-models-prompt-engineering-results/blob/main/experiment_samples/cycle_4/mrq_entry_41.txt" TargetMode="External"/><Relationship Id="rId66" Type="http://schemas.openxmlformats.org/officeDocument/2006/relationships/hyperlink" Target="https://github.com/isselab/2025-models-prompt-engineering-results/blob/main/experiment_samples/cycle_4/prompt_entry_194.txt" TargetMode="External"/><Relationship Id="rId65" Type="http://schemas.openxmlformats.org/officeDocument/2006/relationships/hyperlink" Target="https://github.com/isselab/2025-models-prompt-engineering-results/blob/main/experiment_samples/cycle_4/mrq_entry_194.txt" TargetMode="External"/><Relationship Id="rId68" Type="http://schemas.openxmlformats.org/officeDocument/2006/relationships/hyperlink" Target="https://github.com/isselab/2025-models-prompt-engineering-results/blob/main/experiment_samples/cycle_4/prompt_entry_321.txt" TargetMode="External"/><Relationship Id="rId67" Type="http://schemas.openxmlformats.org/officeDocument/2006/relationships/hyperlink" Target="https://github.com/isselab/2025-models-prompt-engineering-results/blob/main/experiment_samples/cycle_4/mrq_entry_321.txt" TargetMode="External"/><Relationship Id="rId60" Type="http://schemas.openxmlformats.org/officeDocument/2006/relationships/hyperlink" Target="https://github.com/isselab/2025-models-prompt-engineering-results/blob/main/experiment_samples/cycle_3/prompt_entry_552.txt" TargetMode="External"/><Relationship Id="rId69" Type="http://schemas.openxmlformats.org/officeDocument/2006/relationships/hyperlink" Target="https://github.com/isselab/2025-models-prompt-engineering-results/blob/main/experiment_samples/cycle_4/mrq_entry_376.txt" TargetMode="External"/><Relationship Id="rId51" Type="http://schemas.openxmlformats.org/officeDocument/2006/relationships/hyperlink" Target="https://github.com/isselab/2025-models-prompt-engineering-results/blob/main/experiment_samples/cycle_3/mrq_entry_248.txt" TargetMode="External"/><Relationship Id="rId50" Type="http://schemas.openxmlformats.org/officeDocument/2006/relationships/hyperlink" Target="https://github.com/isselab/2025-models-prompt-engineering-results/blob/main/experiment_samples/cycle_3/prompt_entry_155.txt" TargetMode="External"/><Relationship Id="rId53" Type="http://schemas.openxmlformats.org/officeDocument/2006/relationships/hyperlink" Target="https://github.com/isselab/2025-models-prompt-engineering-results/blob/main/experiment_samples/cycle_3/mrq_entry_256.txt" TargetMode="External"/><Relationship Id="rId52" Type="http://schemas.openxmlformats.org/officeDocument/2006/relationships/hyperlink" Target="https://github.com/isselab/2025-models-prompt-engineering-results/blob/main/experiment_samples/cycle_3/prompt_entry_248.txt" TargetMode="External"/><Relationship Id="rId55" Type="http://schemas.openxmlformats.org/officeDocument/2006/relationships/hyperlink" Target="https://github.com/isselab/2025-models-prompt-engineering-results/blob/main/experiment_samples/cycle_3/mrq_entry_345.txt" TargetMode="External"/><Relationship Id="rId54" Type="http://schemas.openxmlformats.org/officeDocument/2006/relationships/hyperlink" Target="https://github.com/isselab/2025-models-prompt-engineering-results/blob/main/experiment_samples/cycle_3/prompt_entry_256.txt" TargetMode="External"/><Relationship Id="rId57" Type="http://schemas.openxmlformats.org/officeDocument/2006/relationships/hyperlink" Target="https://github.com/isselab/2025-models-prompt-engineering-results/blob/main/experiment_samples/cycle_3/mrq_entry_380.txt" TargetMode="External"/><Relationship Id="rId56" Type="http://schemas.openxmlformats.org/officeDocument/2006/relationships/hyperlink" Target="https://github.com/isselab/2025-models-prompt-engineering-results/blob/main/experiment_samples/cycle_3/prompt_entry_345.txt" TargetMode="External"/><Relationship Id="rId59" Type="http://schemas.openxmlformats.org/officeDocument/2006/relationships/hyperlink" Target="https://github.com/isselab/2025-models-prompt-engineering-results/blob/main/experiment_samples/cycle_3/mrq_entry_552.txt" TargetMode="External"/><Relationship Id="rId58" Type="http://schemas.openxmlformats.org/officeDocument/2006/relationships/hyperlink" Target="https://github.com/isselab/2025-models-prompt-engineering-results/blob/main/experiment_samples/cycle_3/prompt_entry_380.tx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9.63"/>
    <col customWidth="1" min="2" max="2" width="35.75"/>
    <col customWidth="1" min="3" max="3" width="11.0"/>
    <col customWidth="1" min="4" max="4" width="11.5"/>
    <col customWidth="1" min="5" max="5" width="12.75"/>
    <col customWidth="1" min="6" max="7" width="9.63"/>
    <col customWidth="1" min="8" max="8" width="12.13"/>
    <col customWidth="1" min="9" max="9" width="9.5"/>
    <col customWidth="1" min="10" max="10" width="11.5"/>
    <col customWidth="1" min="12" max="12" width="11.75"/>
    <col customWidth="1" min="13" max="14" width="9.5"/>
    <col customWidth="1" min="15" max="15" width="13.13"/>
    <col customWidth="1" min="16" max="16" width="9.5"/>
    <col customWidth="1" min="17" max="17" width="11.38"/>
    <col customWidth="1" min="19" max="19" width="10.25"/>
    <col customWidth="1" min="20" max="20" width="10.13"/>
    <col customWidth="1" min="21" max="21" width="14.5"/>
    <col customWidth="1" min="22" max="22" width="9.63"/>
    <col customWidth="1" min="23" max="23" width="15.5"/>
  </cols>
  <sheetData>
    <row r="1" ht="21.0" customHeight="1">
      <c r="A1" s="1"/>
      <c r="B1" s="2"/>
      <c r="C1" s="2"/>
      <c r="D1" s="3" t="s">
        <v>0</v>
      </c>
      <c r="S1" s="4" t="s">
        <v>1</v>
      </c>
    </row>
    <row r="2">
      <c r="A2" s="5"/>
      <c r="B2" s="6" t="s">
        <v>2</v>
      </c>
      <c r="C2" s="7" t="s">
        <v>3</v>
      </c>
      <c r="D2" s="8" t="s">
        <v>4</v>
      </c>
      <c r="E2" s="6" t="s">
        <v>5</v>
      </c>
      <c r="L2" s="6" t="s">
        <v>6</v>
      </c>
      <c r="S2" s="8" t="s">
        <v>7</v>
      </c>
      <c r="T2" s="6" t="s">
        <v>5</v>
      </c>
      <c r="V2" s="6" t="s">
        <v>6</v>
      </c>
      <c r="X2" s="9"/>
      <c r="Y2" s="9"/>
      <c r="Z2" s="9"/>
      <c r="AA2" s="9"/>
      <c r="AB2" s="9"/>
      <c r="AC2" s="9"/>
      <c r="AD2" s="9"/>
      <c r="AE2" s="9"/>
      <c r="AF2" s="9"/>
      <c r="AG2" s="9"/>
      <c r="AH2" s="9"/>
      <c r="AI2" s="9"/>
    </row>
    <row r="3">
      <c r="A3" s="6" t="s">
        <v>8</v>
      </c>
      <c r="E3" s="10" t="s">
        <v>9</v>
      </c>
      <c r="F3" s="6" t="s">
        <v>10</v>
      </c>
      <c r="G3" s="6" t="s">
        <v>11</v>
      </c>
      <c r="H3" s="6" t="s">
        <v>12</v>
      </c>
      <c r="I3" s="6" t="s">
        <v>13</v>
      </c>
      <c r="J3" s="6" t="s">
        <v>14</v>
      </c>
      <c r="K3" s="6" t="s">
        <v>15</v>
      </c>
      <c r="L3" s="10" t="s">
        <v>9</v>
      </c>
      <c r="M3" s="6" t="s">
        <v>10</v>
      </c>
      <c r="N3" s="6" t="s">
        <v>11</v>
      </c>
      <c r="O3" s="6" t="s">
        <v>12</v>
      </c>
      <c r="P3" s="6" t="s">
        <v>13</v>
      </c>
      <c r="Q3" s="6" t="s">
        <v>14</v>
      </c>
      <c r="R3" s="6" t="s">
        <v>15</v>
      </c>
      <c r="T3" s="6" t="s">
        <v>16</v>
      </c>
      <c r="U3" s="6" t="s">
        <v>15</v>
      </c>
      <c r="V3" s="6" t="s">
        <v>16</v>
      </c>
      <c r="W3" s="6" t="s">
        <v>15</v>
      </c>
      <c r="X3" s="6" t="s">
        <v>17</v>
      </c>
      <c r="AA3" s="9"/>
      <c r="AB3" s="9"/>
      <c r="AC3" s="9"/>
      <c r="AD3" s="9"/>
      <c r="AE3" s="9"/>
      <c r="AF3" s="9"/>
      <c r="AG3" s="9"/>
      <c r="AH3" s="9"/>
      <c r="AI3" s="9"/>
    </row>
    <row r="4">
      <c r="A4" s="11" t="s">
        <v>18</v>
      </c>
      <c r="B4" s="12"/>
      <c r="C4" s="12"/>
      <c r="D4" s="12"/>
      <c r="E4" s="12"/>
      <c r="F4" s="12"/>
      <c r="G4" s="12"/>
      <c r="H4" s="12"/>
      <c r="I4" s="12"/>
      <c r="J4" s="12"/>
      <c r="K4" s="12"/>
      <c r="L4" s="12"/>
      <c r="M4" s="12"/>
      <c r="N4" s="12"/>
      <c r="O4" s="12"/>
      <c r="P4" s="12"/>
      <c r="Q4" s="12"/>
      <c r="R4" s="12"/>
      <c r="S4" s="12"/>
      <c r="T4" s="12"/>
      <c r="U4" s="12"/>
      <c r="V4" s="12"/>
      <c r="W4" s="12"/>
      <c r="X4" s="12"/>
      <c r="AA4" s="12"/>
      <c r="AB4" s="12"/>
      <c r="AC4" s="12"/>
      <c r="AD4" s="12"/>
      <c r="AE4" s="12"/>
      <c r="AF4" s="12"/>
      <c r="AG4" s="12"/>
      <c r="AH4" s="12"/>
      <c r="AI4" s="12"/>
    </row>
    <row r="5">
      <c r="A5" s="1" t="s">
        <v>19</v>
      </c>
      <c r="B5" s="13" t="s">
        <v>20</v>
      </c>
      <c r="C5" s="14">
        <v>5.0</v>
      </c>
      <c r="D5" s="15">
        <f t="shared" ref="D5:D14" si="1">AVERAGE(E5, L5)
</f>
        <v>2.4</v>
      </c>
      <c r="E5" s="16">
        <f t="shared" ref="E5:E14" si="2">AVERAGE(F5, G5, H5, I5, J5)</f>
        <v>2</v>
      </c>
      <c r="F5" s="16">
        <v>2.0</v>
      </c>
      <c r="G5" s="16">
        <v>2.0</v>
      </c>
      <c r="H5" s="16">
        <v>2.0</v>
      </c>
      <c r="I5" s="16">
        <v>1.0</v>
      </c>
      <c r="J5" s="16">
        <v>3.0</v>
      </c>
      <c r="K5" s="1" t="s">
        <v>21</v>
      </c>
      <c r="L5" s="16">
        <f t="shared" ref="L5:L14" si="3">AVERAGE(M5, N5, O5, P5, Q5)</f>
        <v>2.8</v>
      </c>
      <c r="M5" s="16">
        <v>2.0</v>
      </c>
      <c r="N5" s="16">
        <v>3.0</v>
      </c>
      <c r="O5" s="16">
        <v>4.0</v>
      </c>
      <c r="P5" s="16">
        <v>1.0</v>
      </c>
      <c r="Q5" s="16">
        <v>4.0</v>
      </c>
      <c r="R5" s="1" t="s">
        <v>22</v>
      </c>
      <c r="S5" s="15">
        <f t="shared" ref="S5:S14" si="4">AVERAGE(T5, V5)
</f>
        <v>3.5</v>
      </c>
      <c r="T5" s="16">
        <v>3.0</v>
      </c>
      <c r="U5" s="1" t="s">
        <v>23</v>
      </c>
      <c r="V5" s="16">
        <v>4.0</v>
      </c>
      <c r="X5" s="17" t="s">
        <v>24</v>
      </c>
    </row>
    <row r="6">
      <c r="A6" s="1" t="s">
        <v>25</v>
      </c>
      <c r="B6" s="13" t="s">
        <v>26</v>
      </c>
      <c r="C6" s="14">
        <v>1.0</v>
      </c>
      <c r="D6" s="15">
        <f t="shared" si="1"/>
        <v>2.7</v>
      </c>
      <c r="E6" s="16">
        <f t="shared" si="2"/>
        <v>2.6</v>
      </c>
      <c r="F6" s="16">
        <v>3.0</v>
      </c>
      <c r="G6" s="16">
        <v>3.0</v>
      </c>
      <c r="H6" s="16">
        <v>3.0</v>
      </c>
      <c r="I6" s="16">
        <v>1.0</v>
      </c>
      <c r="J6" s="16">
        <v>3.0</v>
      </c>
      <c r="K6" s="18" t="s">
        <v>27</v>
      </c>
      <c r="L6" s="16">
        <f t="shared" si="3"/>
        <v>2.8</v>
      </c>
      <c r="M6" s="16">
        <v>4.0</v>
      </c>
      <c r="N6" s="16">
        <v>3.0</v>
      </c>
      <c r="O6" s="16">
        <v>4.0</v>
      </c>
      <c r="P6" s="16">
        <v>1.0</v>
      </c>
      <c r="Q6" s="16">
        <v>2.0</v>
      </c>
      <c r="R6" s="1" t="s">
        <v>28</v>
      </c>
      <c r="S6" s="15">
        <f t="shared" si="4"/>
        <v>2.5</v>
      </c>
      <c r="T6" s="16">
        <v>2.0</v>
      </c>
      <c r="U6" s="1" t="s">
        <v>29</v>
      </c>
      <c r="V6" s="16">
        <v>3.0</v>
      </c>
      <c r="W6" s="1" t="s">
        <v>30</v>
      </c>
      <c r="X6" s="19" t="s">
        <v>31</v>
      </c>
    </row>
    <row r="7">
      <c r="A7" s="1" t="s">
        <v>32</v>
      </c>
      <c r="B7" s="13" t="s">
        <v>33</v>
      </c>
      <c r="C7" s="14">
        <v>2.0</v>
      </c>
      <c r="D7" s="15">
        <f t="shared" si="1"/>
        <v>2.7</v>
      </c>
      <c r="E7" s="16">
        <f t="shared" si="2"/>
        <v>2.8</v>
      </c>
      <c r="F7" s="16">
        <v>3.0</v>
      </c>
      <c r="G7" s="16">
        <v>3.0</v>
      </c>
      <c r="H7" s="16">
        <v>4.0</v>
      </c>
      <c r="I7" s="16">
        <v>1.0</v>
      </c>
      <c r="J7" s="16">
        <v>3.0</v>
      </c>
      <c r="K7" s="18" t="s">
        <v>34</v>
      </c>
      <c r="L7" s="16">
        <f t="shared" si="3"/>
        <v>2.6</v>
      </c>
      <c r="M7" s="16">
        <v>4.0</v>
      </c>
      <c r="N7" s="16">
        <v>2.0</v>
      </c>
      <c r="O7" s="16">
        <v>2.0</v>
      </c>
      <c r="P7" s="16">
        <v>1.0</v>
      </c>
      <c r="Q7" s="16">
        <v>4.0</v>
      </c>
      <c r="R7" s="1" t="s">
        <v>35</v>
      </c>
      <c r="S7" s="15">
        <f t="shared" si="4"/>
        <v>2</v>
      </c>
      <c r="T7" s="16">
        <v>2.0</v>
      </c>
      <c r="U7" s="1" t="s">
        <v>36</v>
      </c>
      <c r="V7" s="16">
        <v>2.0</v>
      </c>
      <c r="W7" s="1" t="s">
        <v>37</v>
      </c>
      <c r="X7" s="19" t="s">
        <v>38</v>
      </c>
    </row>
    <row r="8">
      <c r="A8" s="1" t="s">
        <v>39</v>
      </c>
      <c r="B8" s="20" t="s">
        <v>40</v>
      </c>
      <c r="C8" s="14">
        <v>2.0</v>
      </c>
      <c r="D8" s="15">
        <f t="shared" si="1"/>
        <v>2.6</v>
      </c>
      <c r="E8" s="16">
        <f t="shared" si="2"/>
        <v>2.4</v>
      </c>
      <c r="F8" s="16">
        <v>2.0</v>
      </c>
      <c r="G8" s="16">
        <v>2.0</v>
      </c>
      <c r="H8" s="16">
        <v>3.0</v>
      </c>
      <c r="I8" s="16">
        <v>1.0</v>
      </c>
      <c r="J8" s="16">
        <v>4.0</v>
      </c>
      <c r="K8" s="18" t="s">
        <v>41</v>
      </c>
      <c r="L8" s="16">
        <f t="shared" si="3"/>
        <v>2.8</v>
      </c>
      <c r="M8" s="16">
        <v>3.0</v>
      </c>
      <c r="N8" s="16">
        <v>3.0</v>
      </c>
      <c r="O8" s="16">
        <v>3.0</v>
      </c>
      <c r="P8" s="16">
        <v>1.0</v>
      </c>
      <c r="Q8" s="16">
        <v>4.0</v>
      </c>
      <c r="R8" s="1" t="s">
        <v>42</v>
      </c>
      <c r="S8" s="15">
        <f t="shared" si="4"/>
        <v>3.5</v>
      </c>
      <c r="T8" s="16">
        <v>3.0</v>
      </c>
      <c r="U8" s="18" t="s">
        <v>43</v>
      </c>
      <c r="V8" s="16">
        <v>4.0</v>
      </c>
      <c r="X8" s="19" t="s">
        <v>44</v>
      </c>
    </row>
    <row r="9">
      <c r="A9" s="1" t="s">
        <v>45</v>
      </c>
      <c r="B9" s="13" t="s">
        <v>46</v>
      </c>
      <c r="C9" s="14">
        <v>2.0</v>
      </c>
      <c r="D9" s="15">
        <f t="shared" si="1"/>
        <v>2.3</v>
      </c>
      <c r="E9" s="16">
        <f t="shared" si="2"/>
        <v>2.2</v>
      </c>
      <c r="F9" s="16">
        <v>1.0</v>
      </c>
      <c r="G9" s="16">
        <v>3.0</v>
      </c>
      <c r="H9" s="16">
        <v>3.0</v>
      </c>
      <c r="I9" s="16">
        <v>1.0</v>
      </c>
      <c r="J9" s="16">
        <v>3.0</v>
      </c>
      <c r="K9" s="18" t="s">
        <v>47</v>
      </c>
      <c r="L9" s="16">
        <f t="shared" si="3"/>
        <v>2.4</v>
      </c>
      <c r="M9" s="16">
        <v>2.0</v>
      </c>
      <c r="N9" s="16">
        <v>2.0</v>
      </c>
      <c r="O9" s="16">
        <v>4.0</v>
      </c>
      <c r="P9" s="16">
        <v>1.0</v>
      </c>
      <c r="Q9" s="16">
        <v>3.0</v>
      </c>
      <c r="R9" s="1" t="s">
        <v>48</v>
      </c>
      <c r="S9" s="15">
        <f t="shared" si="4"/>
        <v>2.5</v>
      </c>
      <c r="T9" s="16">
        <v>2.0</v>
      </c>
      <c r="U9" s="18" t="s">
        <v>49</v>
      </c>
      <c r="V9" s="16">
        <v>3.0</v>
      </c>
      <c r="W9" s="1" t="s">
        <v>50</v>
      </c>
      <c r="X9" s="19" t="s">
        <v>51</v>
      </c>
    </row>
    <row r="10">
      <c r="A10" s="1" t="s">
        <v>52</v>
      </c>
      <c r="B10" s="13" t="s">
        <v>53</v>
      </c>
      <c r="C10" s="14">
        <v>1.0</v>
      </c>
      <c r="D10" s="15">
        <f t="shared" si="1"/>
        <v>2.5</v>
      </c>
      <c r="E10" s="16">
        <f t="shared" si="2"/>
        <v>2.8</v>
      </c>
      <c r="F10" s="16">
        <v>1.0</v>
      </c>
      <c r="G10" s="16">
        <v>4.0</v>
      </c>
      <c r="H10" s="16">
        <v>4.0</v>
      </c>
      <c r="I10" s="16">
        <v>1.0</v>
      </c>
      <c r="J10" s="16">
        <v>4.0</v>
      </c>
      <c r="K10" s="18" t="s">
        <v>54</v>
      </c>
      <c r="L10" s="16">
        <f t="shared" si="3"/>
        <v>2.2</v>
      </c>
      <c r="M10" s="16">
        <v>2.0</v>
      </c>
      <c r="N10" s="16">
        <v>2.0</v>
      </c>
      <c r="O10" s="16">
        <v>3.0</v>
      </c>
      <c r="P10" s="16">
        <v>1.0</v>
      </c>
      <c r="Q10" s="16">
        <v>3.0</v>
      </c>
      <c r="R10" s="1" t="s">
        <v>55</v>
      </c>
      <c r="S10" s="15">
        <f t="shared" si="4"/>
        <v>2.5</v>
      </c>
      <c r="T10" s="16">
        <v>3.0</v>
      </c>
      <c r="U10" s="18" t="s">
        <v>56</v>
      </c>
      <c r="V10" s="16">
        <v>2.0</v>
      </c>
      <c r="W10" s="1" t="s">
        <v>57</v>
      </c>
      <c r="X10" s="19" t="s">
        <v>58</v>
      </c>
    </row>
    <row r="11">
      <c r="A11" s="1" t="s">
        <v>59</v>
      </c>
      <c r="B11" s="20" t="s">
        <v>60</v>
      </c>
      <c r="C11" s="21">
        <v>1.0</v>
      </c>
      <c r="D11" s="15">
        <f t="shared" si="1"/>
        <v>2.4</v>
      </c>
      <c r="E11" s="16">
        <f t="shared" si="2"/>
        <v>2.2</v>
      </c>
      <c r="F11" s="16">
        <v>1.0</v>
      </c>
      <c r="G11" s="16">
        <v>4.0</v>
      </c>
      <c r="H11" s="16">
        <v>1.0</v>
      </c>
      <c r="I11" s="16">
        <v>1.0</v>
      </c>
      <c r="J11" s="16">
        <v>4.0</v>
      </c>
      <c r="K11" s="18" t="s">
        <v>61</v>
      </c>
      <c r="L11" s="16">
        <f t="shared" si="3"/>
        <v>2.6</v>
      </c>
      <c r="M11" s="16">
        <v>2.0</v>
      </c>
      <c r="N11" s="16">
        <v>2.0</v>
      </c>
      <c r="O11" s="16">
        <v>4.0</v>
      </c>
      <c r="P11" s="16">
        <v>1.0</v>
      </c>
      <c r="Q11" s="16">
        <v>4.0</v>
      </c>
      <c r="R11" s="1" t="s">
        <v>62</v>
      </c>
      <c r="S11" s="15">
        <f t="shared" si="4"/>
        <v>3</v>
      </c>
      <c r="T11" s="16">
        <v>3.0</v>
      </c>
      <c r="V11" s="16">
        <v>3.0</v>
      </c>
      <c r="W11" s="1" t="s">
        <v>63</v>
      </c>
      <c r="X11" s="19" t="s">
        <v>64</v>
      </c>
    </row>
    <row r="12">
      <c r="A12" s="1" t="s">
        <v>65</v>
      </c>
      <c r="B12" s="13" t="s">
        <v>66</v>
      </c>
      <c r="C12" s="14">
        <v>1.0</v>
      </c>
      <c r="D12" s="15">
        <f t="shared" si="1"/>
        <v>2.2</v>
      </c>
      <c r="E12" s="16">
        <f t="shared" si="2"/>
        <v>2</v>
      </c>
      <c r="F12" s="16">
        <v>1.0</v>
      </c>
      <c r="G12" s="16">
        <v>2.0</v>
      </c>
      <c r="H12" s="16">
        <v>3.0</v>
      </c>
      <c r="I12" s="16">
        <v>1.0</v>
      </c>
      <c r="J12" s="16">
        <v>3.0</v>
      </c>
      <c r="K12" s="18" t="s">
        <v>67</v>
      </c>
      <c r="L12" s="16">
        <f t="shared" si="3"/>
        <v>2.4</v>
      </c>
      <c r="M12" s="16">
        <v>2.0</v>
      </c>
      <c r="N12" s="16">
        <v>2.0</v>
      </c>
      <c r="O12" s="16">
        <v>4.0</v>
      </c>
      <c r="P12" s="16">
        <v>1.0</v>
      </c>
      <c r="Q12" s="16">
        <v>3.0</v>
      </c>
      <c r="R12" s="1" t="s">
        <v>68</v>
      </c>
      <c r="S12" s="15">
        <f t="shared" si="4"/>
        <v>3</v>
      </c>
      <c r="T12" s="16">
        <v>3.0</v>
      </c>
      <c r="V12" s="16">
        <v>3.0</v>
      </c>
      <c r="W12" s="1" t="s">
        <v>69</v>
      </c>
      <c r="X12" s="19" t="s">
        <v>70</v>
      </c>
    </row>
    <row r="13">
      <c r="A13" s="1" t="s">
        <v>71</v>
      </c>
      <c r="B13" s="13" t="s">
        <v>72</v>
      </c>
      <c r="C13" s="14">
        <v>1.0</v>
      </c>
      <c r="D13" s="15">
        <f t="shared" si="1"/>
        <v>2.8</v>
      </c>
      <c r="E13" s="16">
        <f t="shared" si="2"/>
        <v>3</v>
      </c>
      <c r="F13" s="16">
        <v>3.0</v>
      </c>
      <c r="G13" s="16">
        <v>4.0</v>
      </c>
      <c r="H13" s="16">
        <v>3.0</v>
      </c>
      <c r="I13" s="16">
        <v>1.0</v>
      </c>
      <c r="J13" s="16">
        <v>4.0</v>
      </c>
      <c r="K13" s="18" t="s">
        <v>73</v>
      </c>
      <c r="L13" s="16">
        <f t="shared" si="3"/>
        <v>2.6</v>
      </c>
      <c r="M13" s="16">
        <v>3.0</v>
      </c>
      <c r="N13" s="16">
        <v>2.0</v>
      </c>
      <c r="O13" s="16">
        <v>4.0</v>
      </c>
      <c r="P13" s="16">
        <v>1.0</v>
      </c>
      <c r="Q13" s="16">
        <v>3.0</v>
      </c>
      <c r="R13" s="1" t="s">
        <v>74</v>
      </c>
      <c r="S13" s="15">
        <f t="shared" si="4"/>
        <v>3</v>
      </c>
      <c r="T13" s="16">
        <v>3.0</v>
      </c>
      <c r="V13" s="16">
        <v>3.0</v>
      </c>
      <c r="W13" s="1" t="s">
        <v>75</v>
      </c>
      <c r="X13" s="19" t="s">
        <v>76</v>
      </c>
    </row>
    <row r="14">
      <c r="A14" s="1" t="s">
        <v>77</v>
      </c>
      <c r="B14" s="13" t="s">
        <v>78</v>
      </c>
      <c r="C14" s="14">
        <v>1.0</v>
      </c>
      <c r="D14" s="15">
        <f t="shared" si="1"/>
        <v>2.8</v>
      </c>
      <c r="E14" s="16">
        <f t="shared" si="2"/>
        <v>2.8</v>
      </c>
      <c r="F14" s="16">
        <v>1.0</v>
      </c>
      <c r="G14" s="16">
        <v>4.0</v>
      </c>
      <c r="H14" s="16">
        <v>4.0</v>
      </c>
      <c r="I14" s="16">
        <v>1.0</v>
      </c>
      <c r="J14" s="16">
        <v>4.0</v>
      </c>
      <c r="K14" s="18" t="s">
        <v>79</v>
      </c>
      <c r="L14" s="16">
        <f t="shared" si="3"/>
        <v>2.8</v>
      </c>
      <c r="M14" s="16">
        <v>4.0</v>
      </c>
      <c r="N14" s="16">
        <v>2.0</v>
      </c>
      <c r="O14" s="16">
        <v>4.0</v>
      </c>
      <c r="P14" s="16">
        <v>1.0</v>
      </c>
      <c r="Q14" s="16">
        <v>3.0</v>
      </c>
      <c r="R14" s="1" t="s">
        <v>80</v>
      </c>
      <c r="S14" s="15">
        <f t="shared" si="4"/>
        <v>3</v>
      </c>
      <c r="T14" s="16">
        <v>2.0</v>
      </c>
      <c r="U14" s="18" t="s">
        <v>81</v>
      </c>
      <c r="V14" s="16">
        <v>4.0</v>
      </c>
      <c r="X14" s="19" t="s">
        <v>82</v>
      </c>
    </row>
    <row r="15" ht="18.0" customHeight="1">
      <c r="A15" s="11" t="s">
        <v>83</v>
      </c>
      <c r="B15" s="12"/>
      <c r="C15" s="12"/>
      <c r="D15" s="22"/>
      <c r="E15" s="12"/>
      <c r="F15" s="12"/>
      <c r="G15" s="12"/>
      <c r="H15" s="12"/>
      <c r="I15" s="12"/>
      <c r="J15" s="12"/>
      <c r="K15" s="12"/>
      <c r="L15" s="12"/>
      <c r="M15" s="12"/>
      <c r="N15" s="12"/>
      <c r="O15" s="12"/>
      <c r="P15" s="12"/>
      <c r="Q15" s="12"/>
      <c r="R15" s="12"/>
      <c r="S15" s="22"/>
      <c r="T15" s="12"/>
      <c r="U15" s="12"/>
      <c r="V15" s="12"/>
      <c r="W15" s="12"/>
      <c r="X15" s="12"/>
      <c r="Y15" s="12"/>
      <c r="Z15" s="12"/>
      <c r="AA15" s="12"/>
      <c r="AB15" s="12"/>
      <c r="AC15" s="12"/>
      <c r="AD15" s="12"/>
      <c r="AE15" s="12"/>
      <c r="AF15" s="12"/>
      <c r="AG15" s="12"/>
      <c r="AH15" s="12"/>
      <c r="AI15" s="12"/>
    </row>
    <row r="16">
      <c r="A16" s="1" t="s">
        <v>84</v>
      </c>
      <c r="B16" s="19" t="s">
        <v>85</v>
      </c>
      <c r="C16" s="16">
        <v>4.0</v>
      </c>
      <c r="D16" s="15">
        <f t="shared" ref="D16:D25" si="5">AVERAGE(E16, L16)
</f>
        <v>3.1</v>
      </c>
      <c r="E16" s="16">
        <f t="shared" ref="E16:E25" si="6">AVERAGE(F16, G16, H16, I16, J16)</f>
        <v>3</v>
      </c>
      <c r="F16" s="16">
        <v>2.0</v>
      </c>
      <c r="G16" s="16">
        <v>4.0</v>
      </c>
      <c r="H16" s="16">
        <v>4.0</v>
      </c>
      <c r="I16" s="16">
        <v>1.0</v>
      </c>
      <c r="J16" s="16">
        <v>4.0</v>
      </c>
      <c r="K16" s="18" t="s">
        <v>86</v>
      </c>
      <c r="L16" s="16">
        <f t="shared" ref="L16:L25" si="7">AVERAGE(M16, N16, O16, P16, Q16)</f>
        <v>3.2</v>
      </c>
      <c r="M16" s="16">
        <v>4.0</v>
      </c>
      <c r="N16" s="16">
        <v>3.0</v>
      </c>
      <c r="O16" s="16">
        <v>4.0</v>
      </c>
      <c r="P16" s="16">
        <v>1.0</v>
      </c>
      <c r="Q16" s="16">
        <v>4.0</v>
      </c>
      <c r="R16" s="1" t="s">
        <v>87</v>
      </c>
      <c r="S16" s="15">
        <f t="shared" ref="S16:S25" si="8">AVERAGE(T16, V16)
</f>
        <v>4</v>
      </c>
      <c r="T16" s="16">
        <v>4.0</v>
      </c>
      <c r="V16" s="16">
        <v>4.0</v>
      </c>
      <c r="X16" s="19" t="s">
        <v>88</v>
      </c>
    </row>
    <row r="17">
      <c r="A17" s="1" t="s">
        <v>89</v>
      </c>
      <c r="B17" s="19" t="s">
        <v>90</v>
      </c>
      <c r="C17" s="16">
        <v>5.0</v>
      </c>
      <c r="D17" s="15">
        <f t="shared" si="5"/>
        <v>2.8</v>
      </c>
      <c r="E17" s="16">
        <f t="shared" si="6"/>
        <v>2.8</v>
      </c>
      <c r="F17" s="16">
        <v>3.0</v>
      </c>
      <c r="G17" s="16">
        <v>3.0</v>
      </c>
      <c r="H17" s="16">
        <v>3.0</v>
      </c>
      <c r="I17" s="16">
        <v>1.0</v>
      </c>
      <c r="J17" s="16">
        <v>4.0</v>
      </c>
      <c r="K17" s="1" t="s">
        <v>91</v>
      </c>
      <c r="L17" s="16">
        <f t="shared" si="7"/>
        <v>2.8</v>
      </c>
      <c r="M17" s="16">
        <v>3.0</v>
      </c>
      <c r="N17" s="16">
        <v>2.0</v>
      </c>
      <c r="O17" s="16">
        <v>4.0</v>
      </c>
      <c r="P17" s="16">
        <v>1.0</v>
      </c>
      <c r="Q17" s="16">
        <v>4.0</v>
      </c>
      <c r="R17" s="1" t="s">
        <v>92</v>
      </c>
      <c r="S17" s="15">
        <f t="shared" si="8"/>
        <v>3</v>
      </c>
      <c r="T17" s="16">
        <v>3.0</v>
      </c>
      <c r="U17" s="1" t="s">
        <v>93</v>
      </c>
      <c r="V17" s="16">
        <v>3.0</v>
      </c>
      <c r="W17" s="1" t="s">
        <v>94</v>
      </c>
      <c r="X17" s="19" t="s">
        <v>95</v>
      </c>
    </row>
    <row r="18">
      <c r="A18" s="1" t="s">
        <v>96</v>
      </c>
      <c r="B18" s="19" t="s">
        <v>97</v>
      </c>
      <c r="C18" s="16">
        <v>1.0</v>
      </c>
      <c r="D18" s="15">
        <f t="shared" si="5"/>
        <v>3.1</v>
      </c>
      <c r="E18" s="16">
        <f t="shared" si="6"/>
        <v>3</v>
      </c>
      <c r="F18" s="16">
        <v>3.0</v>
      </c>
      <c r="G18" s="16">
        <v>4.0</v>
      </c>
      <c r="H18" s="16">
        <v>3.0</v>
      </c>
      <c r="I18" s="16">
        <v>1.0</v>
      </c>
      <c r="J18" s="16">
        <v>4.0</v>
      </c>
      <c r="K18" s="18" t="s">
        <v>98</v>
      </c>
      <c r="L18" s="16">
        <f t="shared" si="7"/>
        <v>3.2</v>
      </c>
      <c r="M18" s="16">
        <v>4.0</v>
      </c>
      <c r="N18" s="16">
        <v>3.0</v>
      </c>
      <c r="O18" s="16">
        <v>4.0</v>
      </c>
      <c r="P18" s="16">
        <v>1.0</v>
      </c>
      <c r="Q18" s="16">
        <v>4.0</v>
      </c>
      <c r="R18" s="1" t="s">
        <v>99</v>
      </c>
      <c r="S18" s="15">
        <f t="shared" si="8"/>
        <v>4</v>
      </c>
      <c r="T18" s="16">
        <v>4.0</v>
      </c>
      <c r="V18" s="16">
        <v>4.0</v>
      </c>
      <c r="X18" s="19" t="s">
        <v>100</v>
      </c>
    </row>
    <row r="19">
      <c r="A19" s="1" t="s">
        <v>101</v>
      </c>
      <c r="B19" s="19" t="s">
        <v>102</v>
      </c>
      <c r="C19" s="16">
        <v>1.0</v>
      </c>
      <c r="D19" s="15">
        <f t="shared" si="5"/>
        <v>3.1</v>
      </c>
      <c r="E19" s="16">
        <f t="shared" si="6"/>
        <v>3.2</v>
      </c>
      <c r="F19" s="16">
        <v>3.0</v>
      </c>
      <c r="G19" s="16">
        <v>4.0</v>
      </c>
      <c r="H19" s="16">
        <v>4.0</v>
      </c>
      <c r="I19" s="16">
        <v>1.0</v>
      </c>
      <c r="J19" s="16">
        <v>4.0</v>
      </c>
      <c r="K19" s="1" t="s">
        <v>103</v>
      </c>
      <c r="L19" s="16">
        <f t="shared" si="7"/>
        <v>3</v>
      </c>
      <c r="M19" s="16">
        <v>3.0</v>
      </c>
      <c r="N19" s="16">
        <v>3.0</v>
      </c>
      <c r="O19" s="16">
        <v>4.0</v>
      </c>
      <c r="P19" s="16">
        <v>1.0</v>
      </c>
      <c r="Q19" s="16">
        <v>4.0</v>
      </c>
      <c r="R19" s="1" t="s">
        <v>104</v>
      </c>
      <c r="S19" s="15">
        <f t="shared" si="8"/>
        <v>4</v>
      </c>
      <c r="T19" s="16">
        <v>4.0</v>
      </c>
      <c r="V19" s="16">
        <v>4.0</v>
      </c>
      <c r="X19" s="19" t="s">
        <v>105</v>
      </c>
    </row>
    <row r="20">
      <c r="A20" s="1" t="s">
        <v>106</v>
      </c>
      <c r="B20" s="19" t="s">
        <v>107</v>
      </c>
      <c r="C20" s="16">
        <v>1.0</v>
      </c>
      <c r="D20" s="15">
        <f t="shared" si="5"/>
        <v>2.8</v>
      </c>
      <c r="E20" s="16">
        <f t="shared" si="6"/>
        <v>2.6</v>
      </c>
      <c r="F20" s="16">
        <v>3.0</v>
      </c>
      <c r="G20" s="16">
        <v>2.0</v>
      </c>
      <c r="H20" s="16">
        <v>4.0</v>
      </c>
      <c r="I20" s="16">
        <v>1.0</v>
      </c>
      <c r="J20" s="16">
        <v>3.0</v>
      </c>
      <c r="K20" s="1" t="s">
        <v>108</v>
      </c>
      <c r="L20" s="16">
        <f t="shared" si="7"/>
        <v>3</v>
      </c>
      <c r="M20" s="16">
        <v>3.0</v>
      </c>
      <c r="N20" s="16">
        <v>3.0</v>
      </c>
      <c r="O20" s="16">
        <v>4.0</v>
      </c>
      <c r="P20" s="16">
        <v>1.0</v>
      </c>
      <c r="Q20" s="16">
        <v>4.0</v>
      </c>
      <c r="R20" s="1" t="s">
        <v>109</v>
      </c>
      <c r="S20" s="15">
        <f t="shared" si="8"/>
        <v>4</v>
      </c>
      <c r="T20" s="16">
        <v>4.0</v>
      </c>
      <c r="V20" s="16">
        <v>4.0</v>
      </c>
      <c r="X20" s="19" t="s">
        <v>110</v>
      </c>
    </row>
    <row r="21">
      <c r="A21" s="1" t="s">
        <v>111</v>
      </c>
      <c r="B21" s="19" t="s">
        <v>112</v>
      </c>
      <c r="C21" s="16">
        <v>1.0</v>
      </c>
      <c r="D21" s="15">
        <f t="shared" si="5"/>
        <v>2.9</v>
      </c>
      <c r="E21" s="16">
        <f t="shared" si="6"/>
        <v>3</v>
      </c>
      <c r="F21" s="16">
        <v>4.0</v>
      </c>
      <c r="G21" s="16">
        <v>4.0</v>
      </c>
      <c r="H21" s="16">
        <v>3.0</v>
      </c>
      <c r="I21" s="16">
        <v>1.0</v>
      </c>
      <c r="J21" s="16">
        <v>3.0</v>
      </c>
      <c r="K21" s="1" t="s">
        <v>113</v>
      </c>
      <c r="L21" s="16">
        <f t="shared" si="7"/>
        <v>2.8</v>
      </c>
      <c r="M21" s="16">
        <v>4.0</v>
      </c>
      <c r="N21" s="16">
        <v>2.0</v>
      </c>
      <c r="O21" s="16">
        <v>3.0</v>
      </c>
      <c r="P21" s="16">
        <v>1.0</v>
      </c>
      <c r="Q21" s="16">
        <v>4.0</v>
      </c>
      <c r="R21" s="1" t="s">
        <v>114</v>
      </c>
      <c r="S21" s="15">
        <f t="shared" si="8"/>
        <v>4</v>
      </c>
      <c r="T21" s="16">
        <v>4.0</v>
      </c>
      <c r="V21" s="16">
        <v>4.0</v>
      </c>
      <c r="X21" s="19" t="s">
        <v>115</v>
      </c>
    </row>
    <row r="22">
      <c r="A22" s="1" t="s">
        <v>116</v>
      </c>
      <c r="B22" s="19" t="s">
        <v>117</v>
      </c>
      <c r="C22" s="16">
        <v>1.0</v>
      </c>
      <c r="D22" s="15">
        <f t="shared" si="5"/>
        <v>3.2</v>
      </c>
      <c r="E22" s="16">
        <f t="shared" si="6"/>
        <v>3.2</v>
      </c>
      <c r="F22" s="16">
        <v>3.0</v>
      </c>
      <c r="G22" s="16">
        <v>4.0</v>
      </c>
      <c r="H22" s="16">
        <v>4.0</v>
      </c>
      <c r="I22" s="16">
        <v>2.0</v>
      </c>
      <c r="J22" s="16">
        <v>3.0</v>
      </c>
      <c r="K22" s="1" t="s">
        <v>118</v>
      </c>
      <c r="L22" s="16">
        <f t="shared" si="7"/>
        <v>3.2</v>
      </c>
      <c r="M22" s="16">
        <v>4.0</v>
      </c>
      <c r="N22" s="16">
        <v>2.0</v>
      </c>
      <c r="O22" s="16">
        <v>4.0</v>
      </c>
      <c r="P22" s="16">
        <v>2.0</v>
      </c>
      <c r="Q22" s="16">
        <v>4.0</v>
      </c>
      <c r="R22" s="1" t="s">
        <v>87</v>
      </c>
      <c r="S22" s="15">
        <f t="shared" si="8"/>
        <v>4</v>
      </c>
      <c r="T22" s="16">
        <v>4.0</v>
      </c>
      <c r="V22" s="16">
        <v>4.0</v>
      </c>
      <c r="X22" s="19" t="s">
        <v>119</v>
      </c>
    </row>
    <row r="23">
      <c r="A23" s="1" t="s">
        <v>120</v>
      </c>
      <c r="B23" s="19" t="s">
        <v>121</v>
      </c>
      <c r="C23" s="16">
        <v>1.0</v>
      </c>
      <c r="D23" s="15">
        <f t="shared" si="5"/>
        <v>2.8</v>
      </c>
      <c r="E23" s="16">
        <f t="shared" si="6"/>
        <v>2.6</v>
      </c>
      <c r="F23" s="16">
        <v>3.0</v>
      </c>
      <c r="G23" s="16">
        <v>3.0</v>
      </c>
      <c r="H23" s="16">
        <v>2.0</v>
      </c>
      <c r="I23" s="16">
        <v>2.0</v>
      </c>
      <c r="J23" s="16">
        <v>3.0</v>
      </c>
      <c r="K23" s="18" t="s">
        <v>122</v>
      </c>
      <c r="L23" s="16">
        <f t="shared" si="7"/>
        <v>3</v>
      </c>
      <c r="M23" s="16">
        <v>4.0</v>
      </c>
      <c r="N23" s="16">
        <v>2.0</v>
      </c>
      <c r="O23" s="16">
        <v>4.0</v>
      </c>
      <c r="P23" s="16">
        <v>1.0</v>
      </c>
      <c r="Q23" s="16">
        <v>4.0</v>
      </c>
      <c r="R23" s="1" t="s">
        <v>123</v>
      </c>
      <c r="S23" s="15">
        <f t="shared" si="8"/>
        <v>3.5</v>
      </c>
      <c r="T23" s="16">
        <v>3.0</v>
      </c>
      <c r="U23" s="1" t="s">
        <v>124</v>
      </c>
      <c r="V23" s="16">
        <v>4.0</v>
      </c>
      <c r="X23" s="19" t="s">
        <v>125</v>
      </c>
    </row>
    <row r="24">
      <c r="A24" s="1" t="s">
        <v>126</v>
      </c>
      <c r="B24" s="19" t="s">
        <v>127</v>
      </c>
      <c r="C24" s="16">
        <v>1.0</v>
      </c>
      <c r="D24" s="15">
        <f t="shared" si="5"/>
        <v>3</v>
      </c>
      <c r="E24" s="16">
        <f t="shared" si="6"/>
        <v>2.8</v>
      </c>
      <c r="F24" s="16">
        <v>3.0</v>
      </c>
      <c r="G24" s="16">
        <v>2.0</v>
      </c>
      <c r="H24" s="16">
        <v>3.0</v>
      </c>
      <c r="I24" s="16">
        <v>2.0</v>
      </c>
      <c r="J24" s="16">
        <v>4.0</v>
      </c>
      <c r="K24" s="1" t="s">
        <v>128</v>
      </c>
      <c r="L24" s="16">
        <f t="shared" si="7"/>
        <v>3.2</v>
      </c>
      <c r="M24" s="16">
        <v>4.0</v>
      </c>
      <c r="N24" s="16">
        <v>2.0</v>
      </c>
      <c r="O24" s="16">
        <v>4.0</v>
      </c>
      <c r="P24" s="16">
        <v>2.0</v>
      </c>
      <c r="Q24" s="16">
        <v>4.0</v>
      </c>
      <c r="R24" s="1" t="s">
        <v>87</v>
      </c>
      <c r="S24" s="15">
        <f t="shared" si="8"/>
        <v>3.5</v>
      </c>
      <c r="T24" s="16">
        <v>3.0</v>
      </c>
      <c r="U24" s="1" t="s">
        <v>129</v>
      </c>
      <c r="V24" s="16">
        <v>4.0</v>
      </c>
      <c r="X24" s="19" t="s">
        <v>130</v>
      </c>
    </row>
    <row r="25">
      <c r="A25" s="1" t="s">
        <v>131</v>
      </c>
      <c r="B25" s="19" t="s">
        <v>132</v>
      </c>
      <c r="C25" s="16">
        <v>1.0</v>
      </c>
      <c r="D25" s="15">
        <f t="shared" si="5"/>
        <v>2.8</v>
      </c>
      <c r="E25" s="16">
        <f t="shared" si="6"/>
        <v>2.8</v>
      </c>
      <c r="F25" s="16">
        <v>3.0</v>
      </c>
      <c r="G25" s="16">
        <v>3.0</v>
      </c>
      <c r="H25" s="16">
        <v>3.0</v>
      </c>
      <c r="I25" s="16">
        <v>2.0</v>
      </c>
      <c r="J25" s="16">
        <v>3.0</v>
      </c>
      <c r="K25" s="1" t="s">
        <v>133</v>
      </c>
      <c r="L25" s="16">
        <f t="shared" si="7"/>
        <v>2.8</v>
      </c>
      <c r="M25" s="16">
        <v>3.0</v>
      </c>
      <c r="N25" s="16">
        <v>2.0</v>
      </c>
      <c r="O25" s="16">
        <v>4.0</v>
      </c>
      <c r="P25" s="16">
        <v>1.0</v>
      </c>
      <c r="Q25" s="16">
        <v>4.0</v>
      </c>
      <c r="R25" s="1" t="s">
        <v>134</v>
      </c>
      <c r="S25" s="15">
        <f t="shared" si="8"/>
        <v>3.5</v>
      </c>
      <c r="T25" s="16">
        <v>3.0</v>
      </c>
      <c r="U25" s="1" t="s">
        <v>135</v>
      </c>
      <c r="V25" s="16">
        <v>4.0</v>
      </c>
      <c r="X25" s="19" t="s">
        <v>136</v>
      </c>
    </row>
    <row r="26">
      <c r="A26" s="11" t="s">
        <v>137</v>
      </c>
      <c r="B26" s="23"/>
      <c r="C26" s="23"/>
      <c r="D26" s="23"/>
      <c r="E26" s="23"/>
      <c r="F26" s="23"/>
      <c r="G26" s="23"/>
      <c r="H26" s="23"/>
      <c r="I26" s="23"/>
      <c r="J26" s="23"/>
      <c r="K26" s="23"/>
      <c r="L26" s="24"/>
      <c r="M26" s="24"/>
      <c r="N26" s="24"/>
      <c r="O26" s="24"/>
      <c r="P26" s="24"/>
      <c r="Q26" s="24"/>
      <c r="R26" s="23"/>
      <c r="S26" s="23"/>
      <c r="T26" s="23"/>
      <c r="U26" s="23"/>
      <c r="V26" s="24"/>
      <c r="W26" s="23"/>
      <c r="X26" s="23"/>
      <c r="Y26" s="23"/>
      <c r="Z26" s="23"/>
      <c r="AA26" s="23"/>
      <c r="AB26" s="23"/>
      <c r="AC26" s="23"/>
      <c r="AD26" s="23"/>
      <c r="AE26" s="23"/>
      <c r="AF26" s="23"/>
      <c r="AG26" s="23"/>
      <c r="AH26" s="23"/>
      <c r="AI26" s="23"/>
    </row>
    <row r="27">
      <c r="A27" s="1" t="s">
        <v>138</v>
      </c>
      <c r="B27" s="19" t="s">
        <v>139</v>
      </c>
      <c r="C27" s="16">
        <v>3.0</v>
      </c>
      <c r="D27" s="15">
        <f t="shared" ref="D27:D36" si="9">AVERAGE(E27, L27)
</f>
        <v>3.2</v>
      </c>
      <c r="E27" s="16">
        <f t="shared" ref="E27:E36" si="10">AVERAGE(F27, G27, H27, I27, J27)</f>
        <v>3.2</v>
      </c>
      <c r="F27" s="16">
        <v>4.0</v>
      </c>
      <c r="G27" s="16">
        <v>3.0</v>
      </c>
      <c r="H27" s="16">
        <v>3.0</v>
      </c>
      <c r="I27" s="16">
        <v>2.0</v>
      </c>
      <c r="J27" s="16">
        <v>4.0</v>
      </c>
      <c r="K27" s="1" t="s">
        <v>140</v>
      </c>
      <c r="L27" s="16">
        <f t="shared" ref="L27:L36" si="11">AVERAGE(M27, N27, O27, P27, Q27)</f>
        <v>3.2</v>
      </c>
      <c r="M27" s="16">
        <v>4.0</v>
      </c>
      <c r="N27" s="16">
        <v>3.0</v>
      </c>
      <c r="O27" s="16">
        <v>3.0</v>
      </c>
      <c r="P27" s="16">
        <v>2.0</v>
      </c>
      <c r="Q27" s="16">
        <v>4.0</v>
      </c>
      <c r="R27" s="1" t="s">
        <v>141</v>
      </c>
      <c r="S27" s="25">
        <f t="shared" ref="S27:S36" si="12">AVERAGE(T27, V27)
</f>
        <v>4</v>
      </c>
      <c r="T27" s="16">
        <v>4.0</v>
      </c>
      <c r="V27" s="16">
        <v>4.0</v>
      </c>
      <c r="X27" s="19" t="s">
        <v>142</v>
      </c>
    </row>
    <row r="28">
      <c r="A28" s="1" t="s">
        <v>143</v>
      </c>
      <c r="B28" s="19" t="s">
        <v>144</v>
      </c>
      <c r="C28" s="16">
        <v>1.0</v>
      </c>
      <c r="D28" s="15">
        <f t="shared" si="9"/>
        <v>2.8</v>
      </c>
      <c r="E28" s="16">
        <f t="shared" si="10"/>
        <v>2.6</v>
      </c>
      <c r="F28" s="16">
        <v>3.0</v>
      </c>
      <c r="G28" s="16">
        <v>3.0</v>
      </c>
      <c r="H28" s="16">
        <v>3.0</v>
      </c>
      <c r="I28" s="16">
        <v>1.0</v>
      </c>
      <c r="J28" s="16">
        <v>3.0</v>
      </c>
      <c r="K28" s="1" t="s">
        <v>145</v>
      </c>
      <c r="L28" s="16">
        <f t="shared" si="11"/>
        <v>3</v>
      </c>
      <c r="M28" s="16">
        <v>3.0</v>
      </c>
      <c r="N28" s="16">
        <v>3.0</v>
      </c>
      <c r="O28" s="16">
        <v>4.0</v>
      </c>
      <c r="P28" s="16">
        <v>1.0</v>
      </c>
      <c r="Q28" s="16">
        <v>4.0</v>
      </c>
      <c r="R28" s="1" t="s">
        <v>146</v>
      </c>
      <c r="S28" s="25">
        <f t="shared" si="12"/>
        <v>3.5</v>
      </c>
      <c r="T28" s="16">
        <v>3.0</v>
      </c>
      <c r="U28" s="1" t="s">
        <v>147</v>
      </c>
      <c r="V28" s="26">
        <v>4.0</v>
      </c>
      <c r="W28" s="27"/>
      <c r="X28" s="19" t="s">
        <v>148</v>
      </c>
    </row>
    <row r="29">
      <c r="A29" s="1" t="s">
        <v>149</v>
      </c>
      <c r="B29" s="19" t="s">
        <v>150</v>
      </c>
      <c r="C29" s="16">
        <v>1.0</v>
      </c>
      <c r="D29" s="15">
        <f t="shared" si="9"/>
        <v>3</v>
      </c>
      <c r="E29" s="16">
        <f t="shared" si="10"/>
        <v>3.2</v>
      </c>
      <c r="F29" s="16">
        <v>3.0</v>
      </c>
      <c r="G29" s="16">
        <v>4.0</v>
      </c>
      <c r="H29" s="16">
        <v>3.0</v>
      </c>
      <c r="I29" s="16">
        <v>2.0</v>
      </c>
      <c r="J29" s="16">
        <v>4.0</v>
      </c>
      <c r="K29" s="1" t="s">
        <v>151</v>
      </c>
      <c r="L29" s="16">
        <f t="shared" si="11"/>
        <v>2.8</v>
      </c>
      <c r="M29" s="16">
        <v>3.0</v>
      </c>
      <c r="N29" s="16">
        <v>3.0</v>
      </c>
      <c r="O29" s="16">
        <v>4.0</v>
      </c>
      <c r="P29" s="16">
        <v>1.0</v>
      </c>
      <c r="Q29" s="16">
        <v>3.0</v>
      </c>
      <c r="R29" s="1" t="s">
        <v>152</v>
      </c>
      <c r="S29" s="25">
        <f t="shared" si="12"/>
        <v>4</v>
      </c>
      <c r="T29" s="16">
        <v>4.0</v>
      </c>
      <c r="V29" s="16">
        <v>4.0</v>
      </c>
      <c r="W29" s="27"/>
      <c r="X29" s="19" t="s">
        <v>153</v>
      </c>
    </row>
    <row r="30">
      <c r="A30" s="1" t="s">
        <v>154</v>
      </c>
      <c r="B30" s="19" t="s">
        <v>155</v>
      </c>
      <c r="C30" s="16">
        <v>5.0</v>
      </c>
      <c r="D30" s="15">
        <f t="shared" si="9"/>
        <v>2.9</v>
      </c>
      <c r="E30" s="16">
        <f t="shared" si="10"/>
        <v>2.8</v>
      </c>
      <c r="F30" s="16">
        <v>4.0</v>
      </c>
      <c r="G30" s="16">
        <v>3.0</v>
      </c>
      <c r="H30" s="16">
        <v>2.0</v>
      </c>
      <c r="I30" s="16">
        <v>1.0</v>
      </c>
      <c r="J30" s="16">
        <v>4.0</v>
      </c>
      <c r="K30" s="1" t="s">
        <v>156</v>
      </c>
      <c r="L30" s="16">
        <f t="shared" si="11"/>
        <v>3</v>
      </c>
      <c r="M30" s="16">
        <v>4.0</v>
      </c>
      <c r="N30" s="16">
        <v>2.0</v>
      </c>
      <c r="O30" s="16">
        <v>4.0</v>
      </c>
      <c r="P30" s="16">
        <v>1.0</v>
      </c>
      <c r="Q30" s="16">
        <v>4.0</v>
      </c>
      <c r="R30" s="1" t="s">
        <v>157</v>
      </c>
      <c r="S30" s="15">
        <f t="shared" si="12"/>
        <v>3.5</v>
      </c>
      <c r="T30" s="16">
        <v>3.0</v>
      </c>
      <c r="U30" s="1" t="s">
        <v>158</v>
      </c>
      <c r="V30" s="16">
        <v>4.0</v>
      </c>
      <c r="W30" s="27"/>
      <c r="X30" s="19" t="s">
        <v>159</v>
      </c>
    </row>
    <row r="31">
      <c r="A31" s="1" t="s">
        <v>160</v>
      </c>
      <c r="B31" s="19" t="s">
        <v>161</v>
      </c>
      <c r="C31" s="16">
        <v>1.0</v>
      </c>
      <c r="D31" s="15">
        <f t="shared" si="9"/>
        <v>3.4</v>
      </c>
      <c r="E31" s="16">
        <f t="shared" si="10"/>
        <v>3.6</v>
      </c>
      <c r="F31" s="16">
        <v>4.0</v>
      </c>
      <c r="G31" s="16">
        <v>3.0</v>
      </c>
      <c r="H31" s="16">
        <v>4.0</v>
      </c>
      <c r="I31" s="16">
        <v>3.0</v>
      </c>
      <c r="J31" s="16">
        <v>4.0</v>
      </c>
      <c r="K31" s="28" t="s">
        <v>162</v>
      </c>
      <c r="L31" s="16">
        <f t="shared" si="11"/>
        <v>3.2</v>
      </c>
      <c r="M31" s="16">
        <v>4.0</v>
      </c>
      <c r="N31" s="16">
        <v>2.0</v>
      </c>
      <c r="O31" s="16">
        <v>4.0</v>
      </c>
      <c r="P31" s="16">
        <v>2.0</v>
      </c>
      <c r="Q31" s="16">
        <v>4.0</v>
      </c>
      <c r="R31" s="1" t="s">
        <v>163</v>
      </c>
      <c r="S31" s="15">
        <f t="shared" si="12"/>
        <v>4</v>
      </c>
      <c r="T31" s="16">
        <v>4.0</v>
      </c>
      <c r="V31" s="16">
        <v>4.0</v>
      </c>
      <c r="W31" s="27"/>
      <c r="X31" s="19" t="s">
        <v>164</v>
      </c>
    </row>
    <row r="32">
      <c r="A32" s="1" t="s">
        <v>165</v>
      </c>
      <c r="B32" s="19" t="s">
        <v>166</v>
      </c>
      <c r="C32" s="16">
        <v>5.0</v>
      </c>
      <c r="D32" s="15">
        <f t="shared" si="9"/>
        <v>2.6</v>
      </c>
      <c r="E32" s="16">
        <f t="shared" si="10"/>
        <v>2.6</v>
      </c>
      <c r="F32" s="16">
        <v>3.0</v>
      </c>
      <c r="G32" s="16">
        <v>3.0</v>
      </c>
      <c r="H32" s="16">
        <v>3.0</v>
      </c>
      <c r="I32" s="16">
        <v>1.0</v>
      </c>
      <c r="J32" s="16">
        <v>3.0</v>
      </c>
      <c r="K32" s="1" t="s">
        <v>167</v>
      </c>
      <c r="L32" s="16">
        <f t="shared" si="11"/>
        <v>2.6</v>
      </c>
      <c r="M32" s="16">
        <v>3.0</v>
      </c>
      <c r="N32" s="16">
        <v>2.0</v>
      </c>
      <c r="O32" s="16">
        <v>4.0</v>
      </c>
      <c r="P32" s="16">
        <v>1.0</v>
      </c>
      <c r="Q32" s="16">
        <v>3.0</v>
      </c>
      <c r="R32" s="1" t="s">
        <v>168</v>
      </c>
      <c r="S32" s="15">
        <f t="shared" si="12"/>
        <v>4</v>
      </c>
      <c r="T32" s="16">
        <v>4.0</v>
      </c>
      <c r="V32" s="16">
        <v>4.0</v>
      </c>
      <c r="W32" s="27"/>
      <c r="X32" s="19" t="s">
        <v>169</v>
      </c>
    </row>
    <row r="33">
      <c r="A33" s="1" t="s">
        <v>170</v>
      </c>
      <c r="B33" s="19" t="s">
        <v>171</v>
      </c>
      <c r="C33" s="16">
        <v>1.0</v>
      </c>
      <c r="D33" s="15">
        <f t="shared" si="9"/>
        <v>3.1</v>
      </c>
      <c r="E33" s="16">
        <f t="shared" si="10"/>
        <v>3.2</v>
      </c>
      <c r="F33" s="16">
        <v>4.0</v>
      </c>
      <c r="G33" s="16">
        <v>3.0</v>
      </c>
      <c r="H33" s="16">
        <v>3.0</v>
      </c>
      <c r="I33" s="16">
        <v>2.0</v>
      </c>
      <c r="J33" s="16">
        <v>4.0</v>
      </c>
      <c r="K33" s="1" t="s">
        <v>172</v>
      </c>
      <c r="L33" s="16">
        <f t="shared" si="11"/>
        <v>3</v>
      </c>
      <c r="M33" s="16">
        <v>3.0</v>
      </c>
      <c r="N33" s="16">
        <v>3.0</v>
      </c>
      <c r="O33" s="16">
        <v>4.0</v>
      </c>
      <c r="P33" s="16">
        <v>1.0</v>
      </c>
      <c r="Q33" s="16">
        <v>4.0</v>
      </c>
      <c r="R33" s="1" t="s">
        <v>173</v>
      </c>
      <c r="S33" s="15">
        <f t="shared" si="12"/>
        <v>4</v>
      </c>
      <c r="T33" s="16">
        <v>4.0</v>
      </c>
      <c r="V33" s="16">
        <v>4.0</v>
      </c>
      <c r="W33" s="27"/>
      <c r="X33" s="19" t="s">
        <v>174</v>
      </c>
    </row>
    <row r="34">
      <c r="A34" s="1" t="s">
        <v>175</v>
      </c>
      <c r="B34" s="19" t="s">
        <v>176</v>
      </c>
      <c r="C34" s="16">
        <v>1.0</v>
      </c>
      <c r="D34" s="15">
        <f t="shared" si="9"/>
        <v>3.2</v>
      </c>
      <c r="E34" s="16">
        <f t="shared" si="10"/>
        <v>3.2</v>
      </c>
      <c r="F34" s="16">
        <v>4.0</v>
      </c>
      <c r="G34" s="16">
        <v>4.0</v>
      </c>
      <c r="H34" s="16">
        <v>3.0</v>
      </c>
      <c r="I34" s="16">
        <v>1.0</v>
      </c>
      <c r="J34" s="16">
        <v>4.0</v>
      </c>
      <c r="K34" s="1" t="s">
        <v>177</v>
      </c>
      <c r="L34" s="16">
        <f t="shared" si="11"/>
        <v>3.2</v>
      </c>
      <c r="M34" s="16">
        <v>4.0</v>
      </c>
      <c r="N34" s="16">
        <v>3.0</v>
      </c>
      <c r="O34" s="16">
        <v>4.0</v>
      </c>
      <c r="P34" s="16">
        <v>1.0</v>
      </c>
      <c r="Q34" s="16">
        <v>4.0</v>
      </c>
      <c r="R34" s="1" t="s">
        <v>178</v>
      </c>
      <c r="S34" s="15">
        <f t="shared" si="12"/>
        <v>4</v>
      </c>
      <c r="T34" s="16">
        <v>4.0</v>
      </c>
      <c r="V34" s="16">
        <v>4.0</v>
      </c>
      <c r="W34" s="27"/>
      <c r="X34" s="19" t="s">
        <v>179</v>
      </c>
    </row>
    <row r="35">
      <c r="A35" s="1" t="s">
        <v>180</v>
      </c>
      <c r="B35" s="19" t="s">
        <v>181</v>
      </c>
      <c r="C35" s="16">
        <v>1.0</v>
      </c>
      <c r="D35" s="15">
        <f t="shared" si="9"/>
        <v>3.2</v>
      </c>
      <c r="E35" s="16">
        <f t="shared" si="10"/>
        <v>3.4</v>
      </c>
      <c r="F35" s="16">
        <v>4.0</v>
      </c>
      <c r="G35" s="16">
        <v>4.0</v>
      </c>
      <c r="H35" s="16">
        <v>4.0</v>
      </c>
      <c r="I35" s="16">
        <v>2.0</v>
      </c>
      <c r="J35" s="16">
        <v>3.0</v>
      </c>
      <c r="K35" s="1" t="s">
        <v>182</v>
      </c>
      <c r="L35" s="16">
        <f t="shared" si="11"/>
        <v>3</v>
      </c>
      <c r="M35" s="16">
        <v>4.0</v>
      </c>
      <c r="N35" s="16">
        <v>3.0</v>
      </c>
      <c r="O35" s="16">
        <v>2.0</v>
      </c>
      <c r="P35" s="16">
        <v>2.0</v>
      </c>
      <c r="Q35" s="16">
        <v>4.0</v>
      </c>
      <c r="R35" s="1" t="s">
        <v>183</v>
      </c>
      <c r="S35" s="15">
        <f t="shared" si="12"/>
        <v>3</v>
      </c>
      <c r="T35" s="16">
        <v>3.0</v>
      </c>
      <c r="U35" s="1" t="s">
        <v>184</v>
      </c>
      <c r="V35" s="16">
        <v>3.0</v>
      </c>
      <c r="W35" s="1" t="s">
        <v>185</v>
      </c>
      <c r="X35" s="19" t="s">
        <v>186</v>
      </c>
    </row>
    <row r="36">
      <c r="A36" s="1" t="s">
        <v>187</v>
      </c>
      <c r="B36" s="19" t="s">
        <v>188</v>
      </c>
      <c r="C36" s="16">
        <v>1.0</v>
      </c>
      <c r="D36" s="15">
        <f t="shared" si="9"/>
        <v>3.2</v>
      </c>
      <c r="E36" s="16">
        <f t="shared" si="10"/>
        <v>3.4</v>
      </c>
      <c r="F36" s="16">
        <v>4.0</v>
      </c>
      <c r="G36" s="16">
        <v>3.0</v>
      </c>
      <c r="H36" s="16">
        <v>4.0</v>
      </c>
      <c r="I36" s="16">
        <v>2.0</v>
      </c>
      <c r="J36" s="16">
        <v>4.0</v>
      </c>
      <c r="K36" s="1" t="s">
        <v>189</v>
      </c>
      <c r="L36" s="16">
        <f t="shared" si="11"/>
        <v>3</v>
      </c>
      <c r="M36" s="16">
        <v>3.0</v>
      </c>
      <c r="N36" s="16">
        <v>3.0</v>
      </c>
      <c r="O36" s="16">
        <v>3.0</v>
      </c>
      <c r="P36" s="16">
        <v>2.0</v>
      </c>
      <c r="Q36" s="16">
        <v>4.0</v>
      </c>
      <c r="R36" s="1" t="s">
        <v>190</v>
      </c>
      <c r="S36" s="15">
        <f t="shared" si="12"/>
        <v>4</v>
      </c>
      <c r="T36" s="16">
        <v>4.0</v>
      </c>
      <c r="V36" s="16">
        <v>4.0</v>
      </c>
      <c r="W36" s="27"/>
      <c r="X36" s="19" t="s">
        <v>191</v>
      </c>
    </row>
    <row r="37">
      <c r="A37" s="11" t="s">
        <v>192</v>
      </c>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row>
    <row r="38">
      <c r="A38" s="1" t="s">
        <v>193</v>
      </c>
      <c r="B38" s="19" t="s">
        <v>194</v>
      </c>
      <c r="C38" s="16">
        <v>4.0</v>
      </c>
      <c r="D38" s="25">
        <f t="shared" ref="D38:D47" si="13">AVERAGE(E38, L38)
</f>
        <v>3.4</v>
      </c>
      <c r="E38" s="29">
        <f t="shared" ref="E38:E47" si="14">AVERAGE(F38, G38, H38, I38, J38)</f>
        <v>3.4</v>
      </c>
      <c r="F38" s="16">
        <v>3.0</v>
      </c>
      <c r="G38" s="16">
        <v>3.0</v>
      </c>
      <c r="H38" s="16">
        <v>4.0</v>
      </c>
      <c r="I38" s="16">
        <v>4.0</v>
      </c>
      <c r="J38" s="16">
        <v>3.0</v>
      </c>
      <c r="K38" s="1" t="s">
        <v>195</v>
      </c>
      <c r="L38" s="29">
        <f t="shared" ref="L38:L47" si="15">AVERAGE(M38, N38, O38, P38, Q38)</f>
        <v>3.4</v>
      </c>
      <c r="M38" s="16">
        <v>4.0</v>
      </c>
      <c r="N38" s="16">
        <v>3.0</v>
      </c>
      <c r="O38" s="16">
        <v>4.0</v>
      </c>
      <c r="P38" s="16">
        <v>3.0</v>
      </c>
      <c r="Q38" s="16">
        <v>3.0</v>
      </c>
      <c r="R38" s="1" t="s">
        <v>196</v>
      </c>
      <c r="S38" s="29">
        <f t="shared" ref="S38:S47" si="16">AVERAGE(T38, V38)
</f>
        <v>4</v>
      </c>
      <c r="T38" s="16">
        <v>4.0</v>
      </c>
      <c r="U38" s="29"/>
      <c r="V38" s="16">
        <v>4.0</v>
      </c>
      <c r="W38" s="30"/>
      <c r="X38" s="19" t="s">
        <v>197</v>
      </c>
    </row>
    <row r="39">
      <c r="A39" s="1" t="s">
        <v>198</v>
      </c>
      <c r="B39" s="19" t="s">
        <v>199</v>
      </c>
      <c r="C39" s="16">
        <v>2.0</v>
      </c>
      <c r="D39" s="25">
        <f t="shared" si="13"/>
        <v>3.5</v>
      </c>
      <c r="E39" s="29">
        <f t="shared" si="14"/>
        <v>3.6</v>
      </c>
      <c r="F39" s="16">
        <v>3.0</v>
      </c>
      <c r="G39" s="16">
        <v>4.0</v>
      </c>
      <c r="H39" s="16">
        <v>3.0</v>
      </c>
      <c r="I39" s="16">
        <v>4.0</v>
      </c>
      <c r="J39" s="16">
        <v>4.0</v>
      </c>
      <c r="K39" s="1" t="s">
        <v>200</v>
      </c>
      <c r="L39" s="29">
        <f t="shared" si="15"/>
        <v>3.4</v>
      </c>
      <c r="M39" s="16">
        <v>3.0</v>
      </c>
      <c r="N39" s="16">
        <v>3.0</v>
      </c>
      <c r="O39" s="16">
        <v>4.0</v>
      </c>
      <c r="P39" s="16">
        <v>3.0</v>
      </c>
      <c r="Q39" s="16">
        <v>4.0</v>
      </c>
      <c r="R39" s="1" t="s">
        <v>201</v>
      </c>
      <c r="S39" s="29">
        <f t="shared" si="16"/>
        <v>4</v>
      </c>
      <c r="T39" s="16">
        <v>4.0</v>
      </c>
      <c r="U39" s="29"/>
      <c r="V39" s="16">
        <v>4.0</v>
      </c>
      <c r="W39" s="30"/>
      <c r="X39" s="19" t="s">
        <v>202</v>
      </c>
    </row>
    <row r="40">
      <c r="A40" s="1" t="s">
        <v>203</v>
      </c>
      <c r="B40" s="19" t="s">
        <v>204</v>
      </c>
      <c r="C40" s="16">
        <v>2.0</v>
      </c>
      <c r="D40" s="25">
        <f t="shared" si="13"/>
        <v>4</v>
      </c>
      <c r="E40" s="29">
        <f t="shared" si="14"/>
        <v>4</v>
      </c>
      <c r="F40" s="16">
        <v>4.0</v>
      </c>
      <c r="G40" s="16">
        <v>4.0</v>
      </c>
      <c r="H40" s="16">
        <v>4.0</v>
      </c>
      <c r="I40" s="16">
        <v>4.0</v>
      </c>
      <c r="J40" s="16">
        <v>4.0</v>
      </c>
      <c r="L40" s="29">
        <f t="shared" si="15"/>
        <v>4</v>
      </c>
      <c r="M40" s="16">
        <v>4.0</v>
      </c>
      <c r="N40" s="16">
        <v>4.0</v>
      </c>
      <c r="O40" s="16">
        <v>4.0</v>
      </c>
      <c r="P40" s="16">
        <v>4.0</v>
      </c>
      <c r="Q40" s="16">
        <v>4.0</v>
      </c>
      <c r="S40" s="29">
        <f t="shared" si="16"/>
        <v>4</v>
      </c>
      <c r="T40" s="16">
        <v>4.0</v>
      </c>
      <c r="U40" s="29"/>
      <c r="V40" s="16">
        <v>4.0</v>
      </c>
      <c r="W40" s="30"/>
      <c r="X40" s="19" t="s">
        <v>205</v>
      </c>
    </row>
    <row r="41">
      <c r="A41" s="1" t="s">
        <v>206</v>
      </c>
      <c r="B41" s="19" t="s">
        <v>207</v>
      </c>
      <c r="C41" s="16">
        <v>2.0</v>
      </c>
      <c r="D41" s="25">
        <f t="shared" si="13"/>
        <v>2.9</v>
      </c>
      <c r="E41" s="29">
        <f t="shared" si="14"/>
        <v>3</v>
      </c>
      <c r="F41" s="16">
        <v>3.0</v>
      </c>
      <c r="G41" s="16">
        <v>4.0</v>
      </c>
      <c r="H41" s="16">
        <v>2.0</v>
      </c>
      <c r="I41" s="16">
        <v>2.0</v>
      </c>
      <c r="J41" s="16">
        <v>4.0</v>
      </c>
      <c r="K41" s="1" t="s">
        <v>208</v>
      </c>
      <c r="L41" s="29">
        <f t="shared" si="15"/>
        <v>2.8</v>
      </c>
      <c r="M41" s="16">
        <v>3.0</v>
      </c>
      <c r="N41" s="16">
        <v>3.0</v>
      </c>
      <c r="O41" s="16">
        <v>2.0</v>
      </c>
      <c r="P41" s="16">
        <v>2.0</v>
      </c>
      <c r="Q41" s="16">
        <v>4.0</v>
      </c>
      <c r="R41" s="1" t="s">
        <v>209</v>
      </c>
      <c r="S41" s="29">
        <f t="shared" si="16"/>
        <v>3.5</v>
      </c>
      <c r="T41" s="16">
        <v>4.0</v>
      </c>
      <c r="U41" s="29"/>
      <c r="V41" s="16">
        <v>3.0</v>
      </c>
      <c r="W41" s="1" t="s">
        <v>210</v>
      </c>
      <c r="X41" s="19" t="s">
        <v>211</v>
      </c>
    </row>
    <row r="42">
      <c r="A42" s="1" t="s">
        <v>212</v>
      </c>
      <c r="B42" s="19" t="s">
        <v>213</v>
      </c>
      <c r="C42" s="16">
        <v>1.0</v>
      </c>
      <c r="D42" s="25">
        <f t="shared" si="13"/>
        <v>3.1</v>
      </c>
      <c r="E42" s="29">
        <f t="shared" si="14"/>
        <v>3.2</v>
      </c>
      <c r="F42" s="16">
        <v>3.0</v>
      </c>
      <c r="G42" s="16">
        <v>3.0</v>
      </c>
      <c r="H42" s="16">
        <v>4.0</v>
      </c>
      <c r="I42" s="16">
        <v>3.0</v>
      </c>
      <c r="J42" s="16">
        <v>3.0</v>
      </c>
      <c r="K42" s="1" t="s">
        <v>214</v>
      </c>
      <c r="L42" s="29">
        <f t="shared" si="15"/>
        <v>3</v>
      </c>
      <c r="M42" s="16">
        <v>3.0</v>
      </c>
      <c r="N42" s="16">
        <v>3.0</v>
      </c>
      <c r="O42" s="16">
        <v>4.0</v>
      </c>
      <c r="P42" s="16">
        <v>2.0</v>
      </c>
      <c r="Q42" s="16">
        <v>3.0</v>
      </c>
      <c r="R42" s="1" t="s">
        <v>215</v>
      </c>
      <c r="S42" s="29">
        <f t="shared" si="16"/>
        <v>4</v>
      </c>
      <c r="T42" s="16">
        <v>4.0</v>
      </c>
      <c r="U42" s="29"/>
      <c r="V42" s="16">
        <v>4.0</v>
      </c>
      <c r="W42" s="30"/>
      <c r="X42" s="19" t="s">
        <v>216</v>
      </c>
    </row>
    <row r="43">
      <c r="A43" s="1" t="s">
        <v>217</v>
      </c>
      <c r="B43" s="19" t="s">
        <v>218</v>
      </c>
      <c r="C43" s="16">
        <v>1.0</v>
      </c>
      <c r="D43" s="25">
        <f t="shared" si="13"/>
        <v>3.3</v>
      </c>
      <c r="E43" s="29">
        <f t="shared" si="14"/>
        <v>3.4</v>
      </c>
      <c r="F43" s="16">
        <v>2.0</v>
      </c>
      <c r="G43" s="16">
        <v>4.0</v>
      </c>
      <c r="H43" s="16">
        <v>4.0</v>
      </c>
      <c r="I43" s="16">
        <v>3.0</v>
      </c>
      <c r="J43" s="16">
        <v>4.0</v>
      </c>
      <c r="K43" s="1" t="s">
        <v>219</v>
      </c>
      <c r="L43" s="29">
        <f t="shared" si="15"/>
        <v>3.2</v>
      </c>
      <c r="M43" s="16">
        <v>2.0</v>
      </c>
      <c r="N43" s="16">
        <v>4.0</v>
      </c>
      <c r="O43" s="16">
        <v>4.0</v>
      </c>
      <c r="P43" s="16">
        <v>2.0</v>
      </c>
      <c r="Q43" s="16">
        <v>4.0</v>
      </c>
      <c r="R43" s="1" t="s">
        <v>220</v>
      </c>
      <c r="S43" s="29">
        <f t="shared" si="16"/>
        <v>4</v>
      </c>
      <c r="T43" s="16">
        <v>4.0</v>
      </c>
      <c r="U43" s="29"/>
      <c r="V43" s="16">
        <v>4.0</v>
      </c>
      <c r="W43" s="29"/>
      <c r="X43" s="19" t="s">
        <v>221</v>
      </c>
    </row>
    <row r="44">
      <c r="A44" s="1" t="s">
        <v>222</v>
      </c>
      <c r="B44" s="19" t="s">
        <v>223</v>
      </c>
      <c r="C44" s="16">
        <v>1.0</v>
      </c>
      <c r="D44" s="25">
        <f t="shared" si="13"/>
        <v>3.1</v>
      </c>
      <c r="E44" s="29">
        <f t="shared" si="14"/>
        <v>3</v>
      </c>
      <c r="F44" s="16">
        <v>3.0</v>
      </c>
      <c r="G44" s="16">
        <v>3.0</v>
      </c>
      <c r="H44" s="16">
        <v>3.0</v>
      </c>
      <c r="I44" s="16">
        <v>2.0</v>
      </c>
      <c r="J44" s="16">
        <v>4.0</v>
      </c>
      <c r="K44" s="1" t="s">
        <v>224</v>
      </c>
      <c r="L44" s="29">
        <f t="shared" si="15"/>
        <v>3.2</v>
      </c>
      <c r="M44" s="16">
        <v>3.0</v>
      </c>
      <c r="N44" s="16">
        <v>3.0</v>
      </c>
      <c r="O44" s="16">
        <v>3.0</v>
      </c>
      <c r="P44" s="16">
        <v>3.0</v>
      </c>
      <c r="Q44" s="16">
        <v>4.0</v>
      </c>
      <c r="R44" s="1" t="s">
        <v>225</v>
      </c>
      <c r="S44" s="29">
        <f t="shared" si="16"/>
        <v>3</v>
      </c>
      <c r="T44" s="16">
        <v>3.0</v>
      </c>
      <c r="U44" s="14" t="s">
        <v>226</v>
      </c>
      <c r="V44" s="16">
        <v>3.0</v>
      </c>
      <c r="W44" s="1" t="s">
        <v>227</v>
      </c>
      <c r="X44" s="19" t="s">
        <v>228</v>
      </c>
    </row>
    <row r="45">
      <c r="A45" s="1" t="s">
        <v>229</v>
      </c>
      <c r="B45" s="19" t="s">
        <v>230</v>
      </c>
      <c r="C45" s="16">
        <v>1.0</v>
      </c>
      <c r="D45" s="25">
        <f t="shared" si="13"/>
        <v>2.9</v>
      </c>
      <c r="E45" s="29">
        <f t="shared" si="14"/>
        <v>2.8</v>
      </c>
      <c r="F45" s="16">
        <v>4.0</v>
      </c>
      <c r="G45" s="16">
        <v>2.0</v>
      </c>
      <c r="H45" s="16">
        <v>2.0</v>
      </c>
      <c r="I45" s="16">
        <v>2.0</v>
      </c>
      <c r="J45" s="16">
        <v>4.0</v>
      </c>
      <c r="K45" s="1" t="s">
        <v>231</v>
      </c>
      <c r="L45" s="29">
        <f t="shared" si="15"/>
        <v>3</v>
      </c>
      <c r="M45" s="16">
        <v>4.0</v>
      </c>
      <c r="N45" s="16">
        <v>2.0</v>
      </c>
      <c r="O45" s="16">
        <v>3.0</v>
      </c>
      <c r="P45" s="16">
        <v>2.0</v>
      </c>
      <c r="Q45" s="16">
        <v>4.0</v>
      </c>
      <c r="R45" s="1" t="s">
        <v>232</v>
      </c>
      <c r="S45" s="29">
        <f t="shared" si="16"/>
        <v>3.5</v>
      </c>
      <c r="T45" s="16">
        <v>4.0</v>
      </c>
      <c r="U45" s="29"/>
      <c r="V45" s="16">
        <v>3.0</v>
      </c>
      <c r="W45" s="1" t="s">
        <v>233</v>
      </c>
      <c r="X45" s="19" t="s">
        <v>234</v>
      </c>
    </row>
    <row r="46">
      <c r="A46" s="1" t="s">
        <v>235</v>
      </c>
      <c r="B46" s="19" t="s">
        <v>236</v>
      </c>
      <c r="C46" s="16">
        <v>1.0</v>
      </c>
      <c r="D46" s="25">
        <f t="shared" si="13"/>
        <v>3.7</v>
      </c>
      <c r="E46" s="29">
        <f t="shared" si="14"/>
        <v>3.6</v>
      </c>
      <c r="F46" s="16">
        <v>4.0</v>
      </c>
      <c r="G46" s="16">
        <v>3.0</v>
      </c>
      <c r="H46" s="16">
        <v>4.0</v>
      </c>
      <c r="I46" s="16">
        <v>3.0</v>
      </c>
      <c r="J46" s="16">
        <v>4.0</v>
      </c>
      <c r="K46" s="1" t="s">
        <v>237</v>
      </c>
      <c r="L46" s="29">
        <f t="shared" si="15"/>
        <v>3.8</v>
      </c>
      <c r="M46" s="16">
        <v>4.0</v>
      </c>
      <c r="N46" s="16">
        <v>4.0</v>
      </c>
      <c r="O46" s="16">
        <v>4.0</v>
      </c>
      <c r="P46" s="16">
        <v>3.0</v>
      </c>
      <c r="Q46" s="16">
        <v>4.0</v>
      </c>
      <c r="R46" s="1" t="s">
        <v>238</v>
      </c>
      <c r="S46" s="29">
        <f t="shared" si="16"/>
        <v>3</v>
      </c>
      <c r="T46" s="16">
        <v>2.0</v>
      </c>
      <c r="U46" s="14" t="s">
        <v>239</v>
      </c>
      <c r="V46" s="16">
        <v>4.0</v>
      </c>
      <c r="W46" s="29"/>
      <c r="X46" s="19" t="s">
        <v>240</v>
      </c>
    </row>
    <row r="47">
      <c r="A47" s="1" t="s">
        <v>241</v>
      </c>
      <c r="B47" s="19" t="s">
        <v>242</v>
      </c>
      <c r="C47" s="16">
        <v>1.0</v>
      </c>
      <c r="D47" s="25">
        <f t="shared" si="13"/>
        <v>3.4</v>
      </c>
      <c r="E47" s="29">
        <f t="shared" si="14"/>
        <v>3.4</v>
      </c>
      <c r="F47" s="16">
        <v>4.0</v>
      </c>
      <c r="G47" s="16">
        <v>3.0</v>
      </c>
      <c r="H47" s="16">
        <v>4.0</v>
      </c>
      <c r="I47" s="16">
        <v>2.0</v>
      </c>
      <c r="J47" s="16">
        <v>4.0</v>
      </c>
      <c r="K47" s="1" t="s">
        <v>243</v>
      </c>
      <c r="L47" s="29">
        <f t="shared" si="15"/>
        <v>3.4</v>
      </c>
      <c r="M47" s="16">
        <v>3.0</v>
      </c>
      <c r="N47" s="16">
        <v>4.0</v>
      </c>
      <c r="O47" s="16">
        <v>4.0</v>
      </c>
      <c r="P47" s="16">
        <v>2.0</v>
      </c>
      <c r="Q47" s="16">
        <v>4.0</v>
      </c>
      <c r="R47" s="1" t="s">
        <v>244</v>
      </c>
      <c r="S47" s="29">
        <f t="shared" si="16"/>
        <v>4</v>
      </c>
      <c r="T47" s="16">
        <v>4.0</v>
      </c>
      <c r="U47" s="29"/>
      <c r="V47" s="16">
        <v>4.0</v>
      </c>
      <c r="W47" s="29"/>
      <c r="X47" s="19" t="s">
        <v>245</v>
      </c>
    </row>
    <row r="48">
      <c r="A48" s="11" t="s">
        <v>246</v>
      </c>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row>
    <row r="49">
      <c r="A49" s="1" t="s">
        <v>247</v>
      </c>
      <c r="B49" s="19" t="s">
        <v>248</v>
      </c>
      <c r="C49" s="16">
        <v>5.0</v>
      </c>
      <c r="D49" s="29">
        <f t="shared" ref="D49:D58" si="17">AVERAGE(E49, L49)
</f>
        <v>3.9</v>
      </c>
      <c r="E49" s="29">
        <f t="shared" ref="E49:E58" si="18">AVERAGE(F49, G49, H49, I49, J49)</f>
        <v>3.8</v>
      </c>
      <c r="F49" s="16">
        <v>3.0</v>
      </c>
      <c r="G49" s="16">
        <v>4.0</v>
      </c>
      <c r="H49" s="16">
        <v>4.0</v>
      </c>
      <c r="I49" s="16">
        <v>4.0</v>
      </c>
      <c r="J49" s="16">
        <v>4.0</v>
      </c>
      <c r="K49" s="1" t="s">
        <v>249</v>
      </c>
      <c r="L49" s="29">
        <f t="shared" ref="L49:L58" si="19">AVERAGE(M49, N49, O49, P49, Q49)</f>
        <v>4</v>
      </c>
      <c r="M49" s="16">
        <v>4.0</v>
      </c>
      <c r="N49" s="16">
        <v>4.0</v>
      </c>
      <c r="O49" s="16">
        <v>4.0</v>
      </c>
      <c r="P49" s="16">
        <v>4.0</v>
      </c>
      <c r="Q49" s="16">
        <v>4.0</v>
      </c>
      <c r="S49" s="29">
        <f t="shared" ref="S49:S58" si="20">AVERAGE(T49, V49)
</f>
        <v>4</v>
      </c>
      <c r="T49" s="16">
        <v>4.0</v>
      </c>
      <c r="V49" s="16">
        <v>4.0</v>
      </c>
      <c r="X49" s="19" t="s">
        <v>250</v>
      </c>
    </row>
    <row r="50">
      <c r="A50" s="1" t="s">
        <v>251</v>
      </c>
      <c r="B50" s="19" t="s">
        <v>252</v>
      </c>
      <c r="C50" s="16">
        <v>3.0</v>
      </c>
      <c r="D50" s="29">
        <f t="shared" si="17"/>
        <v>3.8</v>
      </c>
      <c r="E50" s="29">
        <f t="shared" si="18"/>
        <v>3.8</v>
      </c>
      <c r="F50" s="16">
        <v>4.0</v>
      </c>
      <c r="G50" s="16">
        <v>4.0</v>
      </c>
      <c r="H50" s="16">
        <v>4.0</v>
      </c>
      <c r="I50" s="16">
        <v>3.0</v>
      </c>
      <c r="J50" s="16">
        <v>4.0</v>
      </c>
      <c r="K50" s="28" t="s">
        <v>253</v>
      </c>
      <c r="L50" s="29">
        <f t="shared" si="19"/>
        <v>3.8</v>
      </c>
      <c r="M50" s="16">
        <v>4.0</v>
      </c>
      <c r="N50" s="16">
        <v>4.0</v>
      </c>
      <c r="O50" s="16">
        <v>4.0</v>
      </c>
      <c r="P50" s="16">
        <v>3.0</v>
      </c>
      <c r="Q50" s="16">
        <v>4.0</v>
      </c>
      <c r="R50" s="1" t="s">
        <v>254</v>
      </c>
      <c r="S50" s="29">
        <f t="shared" si="20"/>
        <v>4</v>
      </c>
      <c r="T50" s="16">
        <v>4.0</v>
      </c>
      <c r="V50" s="16">
        <v>4.0</v>
      </c>
      <c r="X50" s="19" t="s">
        <v>255</v>
      </c>
    </row>
    <row r="51">
      <c r="A51" s="1" t="s">
        <v>256</v>
      </c>
      <c r="B51" s="19" t="s">
        <v>257</v>
      </c>
      <c r="C51" s="16">
        <v>1.0</v>
      </c>
      <c r="D51" s="29">
        <f t="shared" si="17"/>
        <v>3.6</v>
      </c>
      <c r="E51" s="29">
        <f t="shared" si="18"/>
        <v>3.6</v>
      </c>
      <c r="F51" s="16">
        <v>4.0</v>
      </c>
      <c r="G51" s="16">
        <v>3.0</v>
      </c>
      <c r="H51" s="16">
        <v>4.0</v>
      </c>
      <c r="I51" s="16">
        <v>4.0</v>
      </c>
      <c r="J51" s="16">
        <v>3.0</v>
      </c>
      <c r="K51" s="1" t="s">
        <v>258</v>
      </c>
      <c r="L51" s="29">
        <f t="shared" si="19"/>
        <v>3.6</v>
      </c>
      <c r="M51" s="16">
        <v>4.0</v>
      </c>
      <c r="N51" s="16">
        <v>3.0</v>
      </c>
      <c r="O51" s="16">
        <v>4.0</v>
      </c>
      <c r="P51" s="16">
        <v>4.0</v>
      </c>
      <c r="Q51" s="16">
        <v>3.0</v>
      </c>
      <c r="R51" s="1" t="s">
        <v>259</v>
      </c>
      <c r="S51" s="29">
        <f t="shared" si="20"/>
        <v>4</v>
      </c>
      <c r="T51" s="16">
        <v>4.0</v>
      </c>
      <c r="V51" s="16">
        <v>4.0</v>
      </c>
      <c r="X51" s="19" t="s">
        <v>260</v>
      </c>
    </row>
    <row r="52">
      <c r="A52" s="1" t="s">
        <v>261</v>
      </c>
      <c r="B52" s="19" t="s">
        <v>262</v>
      </c>
      <c r="C52" s="16">
        <v>1.0</v>
      </c>
      <c r="D52" s="29">
        <f t="shared" si="17"/>
        <v>3.6</v>
      </c>
      <c r="E52" s="29">
        <f t="shared" si="18"/>
        <v>3.8</v>
      </c>
      <c r="F52" s="16">
        <v>4.0</v>
      </c>
      <c r="G52" s="16">
        <v>3.0</v>
      </c>
      <c r="H52" s="16">
        <v>4.0</v>
      </c>
      <c r="I52" s="16">
        <v>4.0</v>
      </c>
      <c r="J52" s="16">
        <v>4.0</v>
      </c>
      <c r="K52" s="1" t="s">
        <v>263</v>
      </c>
      <c r="L52" s="29">
        <f t="shared" si="19"/>
        <v>3.4</v>
      </c>
      <c r="M52" s="16">
        <v>3.0</v>
      </c>
      <c r="N52" s="16">
        <v>4.0</v>
      </c>
      <c r="O52" s="16">
        <v>3.0</v>
      </c>
      <c r="P52" s="16">
        <v>3.0</v>
      </c>
      <c r="Q52" s="16">
        <v>4.0</v>
      </c>
      <c r="R52" s="1" t="s">
        <v>264</v>
      </c>
      <c r="S52" s="29">
        <f t="shared" si="20"/>
        <v>4</v>
      </c>
      <c r="T52" s="16">
        <v>4.0</v>
      </c>
      <c r="V52" s="16">
        <v>4.0</v>
      </c>
      <c r="X52" s="19" t="s">
        <v>265</v>
      </c>
    </row>
    <row r="53">
      <c r="A53" s="1" t="s">
        <v>266</v>
      </c>
      <c r="B53" s="19" t="s">
        <v>267</v>
      </c>
      <c r="C53" s="16">
        <v>6.0</v>
      </c>
      <c r="D53" s="29">
        <f t="shared" si="17"/>
        <v>3.4</v>
      </c>
      <c r="E53" s="29">
        <f t="shared" si="18"/>
        <v>3.4</v>
      </c>
      <c r="F53" s="16">
        <v>4.0</v>
      </c>
      <c r="G53" s="16">
        <v>3.0</v>
      </c>
      <c r="H53" s="16">
        <v>4.0</v>
      </c>
      <c r="I53" s="16">
        <v>4.0</v>
      </c>
      <c r="J53" s="16">
        <v>2.0</v>
      </c>
      <c r="K53" s="18" t="s">
        <v>268</v>
      </c>
      <c r="L53" s="29">
        <f t="shared" si="19"/>
        <v>3.4</v>
      </c>
      <c r="M53" s="16">
        <v>3.0</v>
      </c>
      <c r="N53" s="16">
        <v>4.0</v>
      </c>
      <c r="O53" s="16">
        <v>4.0</v>
      </c>
      <c r="P53" s="16">
        <v>3.0</v>
      </c>
      <c r="Q53" s="16">
        <v>3.0</v>
      </c>
      <c r="R53" s="1" t="s">
        <v>269</v>
      </c>
      <c r="S53" s="29">
        <f t="shared" si="20"/>
        <v>4</v>
      </c>
      <c r="T53" s="16">
        <v>4.0</v>
      </c>
      <c r="V53" s="16">
        <v>4.0</v>
      </c>
      <c r="X53" s="19" t="s">
        <v>270</v>
      </c>
    </row>
    <row r="54">
      <c r="A54" s="1" t="s">
        <v>271</v>
      </c>
      <c r="B54" s="19" t="s">
        <v>272</v>
      </c>
      <c r="C54" s="16">
        <v>3.0</v>
      </c>
      <c r="D54" s="29">
        <f t="shared" si="17"/>
        <v>3.9</v>
      </c>
      <c r="E54" s="29">
        <f t="shared" si="18"/>
        <v>4</v>
      </c>
      <c r="F54" s="16">
        <v>4.0</v>
      </c>
      <c r="G54" s="16">
        <v>4.0</v>
      </c>
      <c r="H54" s="16">
        <v>4.0</v>
      </c>
      <c r="I54" s="16">
        <v>4.0</v>
      </c>
      <c r="J54" s="16">
        <v>4.0</v>
      </c>
      <c r="K54" s="1"/>
      <c r="L54" s="29">
        <f t="shared" si="19"/>
        <v>3.8</v>
      </c>
      <c r="M54" s="16">
        <v>4.0</v>
      </c>
      <c r="N54" s="16">
        <v>4.0</v>
      </c>
      <c r="O54" s="16">
        <v>4.0</v>
      </c>
      <c r="P54" s="16">
        <v>3.0</v>
      </c>
      <c r="Q54" s="16">
        <v>4.0</v>
      </c>
      <c r="R54" s="1" t="s">
        <v>273</v>
      </c>
      <c r="S54" s="29">
        <f t="shared" si="20"/>
        <v>4</v>
      </c>
      <c r="T54" s="16">
        <v>4.0</v>
      </c>
      <c r="V54" s="16">
        <v>4.0</v>
      </c>
      <c r="X54" s="19" t="s">
        <v>274</v>
      </c>
    </row>
    <row r="55">
      <c r="A55" s="1" t="s">
        <v>275</v>
      </c>
      <c r="B55" s="19" t="s">
        <v>276</v>
      </c>
      <c r="C55" s="16">
        <v>1.0</v>
      </c>
      <c r="D55" s="29">
        <f t="shared" si="17"/>
        <v>3.8</v>
      </c>
      <c r="E55" s="29">
        <f t="shared" si="18"/>
        <v>3.8</v>
      </c>
      <c r="F55" s="16">
        <v>4.0</v>
      </c>
      <c r="G55" s="16">
        <v>4.0</v>
      </c>
      <c r="H55" s="16">
        <v>3.0</v>
      </c>
      <c r="I55" s="16">
        <v>4.0</v>
      </c>
      <c r="J55" s="16">
        <v>4.0</v>
      </c>
      <c r="K55" s="1" t="s">
        <v>277</v>
      </c>
      <c r="L55" s="29">
        <f t="shared" si="19"/>
        <v>3.8</v>
      </c>
      <c r="M55" s="16">
        <v>4.0</v>
      </c>
      <c r="N55" s="16">
        <v>4.0</v>
      </c>
      <c r="O55" s="16">
        <v>4.0</v>
      </c>
      <c r="P55" s="16">
        <v>3.0</v>
      </c>
      <c r="Q55" s="16">
        <v>4.0</v>
      </c>
      <c r="R55" s="1" t="s">
        <v>278</v>
      </c>
      <c r="S55" s="29">
        <f t="shared" si="20"/>
        <v>4</v>
      </c>
      <c r="T55" s="16">
        <v>4.0</v>
      </c>
      <c r="V55" s="16">
        <v>4.0</v>
      </c>
      <c r="X55" s="19" t="s">
        <v>279</v>
      </c>
    </row>
    <row r="56">
      <c r="A56" s="1" t="s">
        <v>280</v>
      </c>
      <c r="B56" s="19" t="s">
        <v>281</v>
      </c>
      <c r="C56" s="16">
        <v>1.0</v>
      </c>
      <c r="D56" s="29">
        <f t="shared" si="17"/>
        <v>3.6</v>
      </c>
      <c r="E56" s="29">
        <f t="shared" si="18"/>
        <v>3.6</v>
      </c>
      <c r="F56" s="16">
        <v>4.0</v>
      </c>
      <c r="G56" s="16">
        <v>3.0</v>
      </c>
      <c r="H56" s="16">
        <v>3.0</v>
      </c>
      <c r="I56" s="16">
        <v>4.0</v>
      </c>
      <c r="J56" s="16">
        <v>4.0</v>
      </c>
      <c r="K56" s="1" t="s">
        <v>282</v>
      </c>
      <c r="L56" s="29">
        <f t="shared" si="19"/>
        <v>3.6</v>
      </c>
      <c r="M56" s="16">
        <v>4.0</v>
      </c>
      <c r="N56" s="16">
        <v>4.0</v>
      </c>
      <c r="O56" s="16">
        <v>4.0</v>
      </c>
      <c r="P56" s="16">
        <v>3.0</v>
      </c>
      <c r="Q56" s="16">
        <v>3.0</v>
      </c>
      <c r="R56" s="1" t="s">
        <v>283</v>
      </c>
      <c r="S56" s="29">
        <f t="shared" si="20"/>
        <v>4</v>
      </c>
      <c r="T56" s="16">
        <v>4.0</v>
      </c>
      <c r="V56" s="16">
        <v>4.0</v>
      </c>
      <c r="X56" s="19" t="s">
        <v>284</v>
      </c>
    </row>
    <row r="57">
      <c r="A57" s="1" t="s">
        <v>285</v>
      </c>
      <c r="B57" s="19" t="s">
        <v>286</v>
      </c>
      <c r="C57" s="16">
        <v>2.0</v>
      </c>
      <c r="D57" s="29">
        <f t="shared" si="17"/>
        <v>4</v>
      </c>
      <c r="E57" s="29">
        <f t="shared" si="18"/>
        <v>4</v>
      </c>
      <c r="F57" s="16">
        <v>4.0</v>
      </c>
      <c r="G57" s="16">
        <v>4.0</v>
      </c>
      <c r="H57" s="16">
        <v>4.0</v>
      </c>
      <c r="I57" s="16">
        <v>4.0</v>
      </c>
      <c r="J57" s="16">
        <v>4.0</v>
      </c>
      <c r="L57" s="29">
        <f t="shared" si="19"/>
        <v>4</v>
      </c>
      <c r="M57" s="16">
        <v>4.0</v>
      </c>
      <c r="N57" s="16">
        <v>4.0</v>
      </c>
      <c r="O57" s="16">
        <v>4.0</v>
      </c>
      <c r="P57" s="16">
        <v>4.0</v>
      </c>
      <c r="Q57" s="16">
        <v>4.0</v>
      </c>
      <c r="R57" s="1" t="s">
        <v>287</v>
      </c>
      <c r="S57" s="29">
        <f t="shared" si="20"/>
        <v>3.5</v>
      </c>
      <c r="T57" s="16">
        <v>4.0</v>
      </c>
      <c r="V57" s="16">
        <v>3.0</v>
      </c>
      <c r="W57" s="1" t="s">
        <v>288</v>
      </c>
      <c r="X57" s="19" t="s">
        <v>289</v>
      </c>
    </row>
    <row r="58">
      <c r="A58" s="1" t="s">
        <v>290</v>
      </c>
      <c r="B58" s="19" t="s">
        <v>291</v>
      </c>
      <c r="C58" s="16">
        <v>2.0</v>
      </c>
      <c r="D58" s="29">
        <f t="shared" si="17"/>
        <v>3.8</v>
      </c>
      <c r="E58" s="29">
        <f t="shared" si="18"/>
        <v>4</v>
      </c>
      <c r="F58" s="16">
        <v>4.0</v>
      </c>
      <c r="G58" s="16">
        <v>4.0</v>
      </c>
      <c r="H58" s="16">
        <v>4.0</v>
      </c>
      <c r="I58" s="16">
        <v>4.0</v>
      </c>
      <c r="J58" s="16">
        <v>4.0</v>
      </c>
      <c r="K58" s="1" t="s">
        <v>292</v>
      </c>
      <c r="L58" s="29">
        <f t="shared" si="19"/>
        <v>3.6</v>
      </c>
      <c r="M58" s="16">
        <v>4.0</v>
      </c>
      <c r="N58" s="16">
        <v>4.0</v>
      </c>
      <c r="O58" s="16">
        <v>4.0</v>
      </c>
      <c r="P58" s="16">
        <v>3.0</v>
      </c>
      <c r="Q58" s="16">
        <v>3.0</v>
      </c>
      <c r="R58" s="1" t="s">
        <v>293</v>
      </c>
      <c r="S58" s="29">
        <f t="shared" si="20"/>
        <v>4</v>
      </c>
      <c r="T58" s="16">
        <v>4.0</v>
      </c>
      <c r="V58" s="16">
        <v>4.0</v>
      </c>
      <c r="X58" s="19" t="s">
        <v>294</v>
      </c>
    </row>
  </sheetData>
  <mergeCells count="62">
    <mergeCell ref="X40:Z40"/>
    <mergeCell ref="X41:Z41"/>
    <mergeCell ref="X42:Z42"/>
    <mergeCell ref="X43:Z43"/>
    <mergeCell ref="X44:Z44"/>
    <mergeCell ref="X45:Z45"/>
    <mergeCell ref="X46:Z46"/>
    <mergeCell ref="X55:Z55"/>
    <mergeCell ref="X56:Z56"/>
    <mergeCell ref="X57:Z57"/>
    <mergeCell ref="X58:Z58"/>
    <mergeCell ref="X47:Z47"/>
    <mergeCell ref="X49:Z49"/>
    <mergeCell ref="X50:Z50"/>
    <mergeCell ref="X51:Z51"/>
    <mergeCell ref="X52:Z52"/>
    <mergeCell ref="X53:Z53"/>
    <mergeCell ref="X54:Z54"/>
    <mergeCell ref="L2:R2"/>
    <mergeCell ref="T2:U2"/>
    <mergeCell ref="D1:R1"/>
    <mergeCell ref="S1:W1"/>
    <mergeCell ref="B2:B3"/>
    <mergeCell ref="C2:C3"/>
    <mergeCell ref="D2:D3"/>
    <mergeCell ref="E2:K2"/>
    <mergeCell ref="S2:S3"/>
    <mergeCell ref="V2:W2"/>
    <mergeCell ref="X3:Z3"/>
    <mergeCell ref="X4:Z4"/>
    <mergeCell ref="X5:Z5"/>
    <mergeCell ref="X6:Z6"/>
    <mergeCell ref="X7:Z7"/>
    <mergeCell ref="X8:Z8"/>
    <mergeCell ref="X9:Z9"/>
    <mergeCell ref="X10:Z10"/>
    <mergeCell ref="X11:Z11"/>
    <mergeCell ref="X12:Z12"/>
    <mergeCell ref="X13:Z13"/>
    <mergeCell ref="X14:Z14"/>
    <mergeCell ref="X16:Z16"/>
    <mergeCell ref="X17:Z17"/>
    <mergeCell ref="X18:Z18"/>
    <mergeCell ref="X19:Z19"/>
    <mergeCell ref="X20:Z20"/>
    <mergeCell ref="X21:Z21"/>
    <mergeCell ref="X22:Z22"/>
    <mergeCell ref="X23:Z23"/>
    <mergeCell ref="X24:Z24"/>
    <mergeCell ref="X25:Z25"/>
    <mergeCell ref="X27:Z27"/>
    <mergeCell ref="X28:Z28"/>
    <mergeCell ref="X29:Z29"/>
    <mergeCell ref="X30:Z30"/>
    <mergeCell ref="X31:Z31"/>
    <mergeCell ref="X32:Z32"/>
    <mergeCell ref="X33:Z33"/>
    <mergeCell ref="X34:Z34"/>
    <mergeCell ref="X35:Z35"/>
    <mergeCell ref="X36:Z36"/>
    <mergeCell ref="X38:Z38"/>
    <mergeCell ref="X39:Z39"/>
  </mergeCells>
  <hyperlinks>
    <hyperlink r:id="rId1" ref="B5"/>
    <hyperlink r:id="rId2" ref="X5"/>
    <hyperlink r:id="rId3" ref="B6"/>
    <hyperlink r:id="rId4" ref="X6"/>
    <hyperlink r:id="rId5" ref="B7"/>
    <hyperlink r:id="rId6" ref="X7"/>
    <hyperlink r:id="rId7" ref="B8"/>
    <hyperlink r:id="rId8" ref="X8"/>
    <hyperlink r:id="rId9" ref="B9"/>
    <hyperlink r:id="rId10" ref="X9"/>
    <hyperlink r:id="rId11" ref="B10"/>
    <hyperlink r:id="rId12" ref="X10"/>
    <hyperlink r:id="rId13" ref="B11"/>
    <hyperlink r:id="rId14" ref="X11"/>
    <hyperlink r:id="rId15" ref="B12"/>
    <hyperlink r:id="rId16" ref="X12"/>
    <hyperlink r:id="rId17" ref="B13"/>
    <hyperlink r:id="rId18" ref="X13"/>
    <hyperlink r:id="rId19" ref="B14"/>
    <hyperlink r:id="rId20" ref="X14"/>
    <hyperlink r:id="rId21" ref="B16"/>
    <hyperlink r:id="rId22" ref="X16"/>
    <hyperlink r:id="rId23" ref="B17"/>
    <hyperlink r:id="rId24" ref="X17"/>
    <hyperlink r:id="rId25" ref="B18"/>
    <hyperlink r:id="rId26" ref="X18"/>
    <hyperlink r:id="rId27" ref="B19"/>
    <hyperlink r:id="rId28" ref="X19"/>
    <hyperlink r:id="rId29" ref="B20"/>
    <hyperlink r:id="rId30" ref="X20"/>
    <hyperlink r:id="rId31" ref="B21"/>
    <hyperlink r:id="rId32" ref="X21"/>
    <hyperlink r:id="rId33" ref="B22"/>
    <hyperlink r:id="rId34" ref="X22"/>
    <hyperlink r:id="rId35" ref="B23"/>
    <hyperlink r:id="rId36" ref="X23"/>
    <hyperlink r:id="rId37" ref="B24"/>
    <hyperlink r:id="rId38" ref="X24"/>
    <hyperlink r:id="rId39" ref="B25"/>
    <hyperlink r:id="rId40" ref="X25"/>
    <hyperlink r:id="rId41" ref="B27"/>
    <hyperlink r:id="rId42" ref="X27"/>
    <hyperlink r:id="rId43" ref="B28"/>
    <hyperlink r:id="rId44" ref="X28"/>
    <hyperlink r:id="rId45" ref="B29"/>
    <hyperlink r:id="rId46" ref="X29"/>
    <hyperlink r:id="rId47" ref="B30"/>
    <hyperlink r:id="rId48" ref="X30"/>
    <hyperlink r:id="rId49" ref="B31"/>
    <hyperlink r:id="rId50" ref="X31"/>
    <hyperlink r:id="rId51" ref="B32"/>
    <hyperlink r:id="rId52" ref="X32"/>
    <hyperlink r:id="rId53" ref="B33"/>
    <hyperlink r:id="rId54" ref="X33"/>
    <hyperlink r:id="rId55" ref="B34"/>
    <hyperlink r:id="rId56" ref="X34"/>
    <hyperlink r:id="rId57" ref="B35"/>
    <hyperlink r:id="rId58" ref="X35"/>
    <hyperlink r:id="rId59" ref="B36"/>
    <hyperlink r:id="rId60" ref="X36"/>
    <hyperlink r:id="rId61" ref="B38"/>
    <hyperlink r:id="rId62" ref="X38"/>
    <hyperlink r:id="rId63" ref="B39"/>
    <hyperlink r:id="rId64" ref="X39"/>
    <hyperlink r:id="rId65" ref="B40"/>
    <hyperlink r:id="rId66" ref="X40"/>
    <hyperlink r:id="rId67" ref="B41"/>
    <hyperlink r:id="rId68" ref="X41"/>
    <hyperlink r:id="rId69" ref="B42"/>
    <hyperlink r:id="rId70" ref="X42"/>
    <hyperlink r:id="rId71" ref="B43"/>
    <hyperlink r:id="rId72" ref="X43"/>
    <hyperlink r:id="rId73" ref="B44"/>
    <hyperlink r:id="rId74" ref="X44"/>
    <hyperlink r:id="rId75" ref="B45"/>
    <hyperlink r:id="rId76" ref="X45"/>
    <hyperlink r:id="rId77" ref="B46"/>
    <hyperlink r:id="rId78" ref="X46"/>
    <hyperlink r:id="rId79" ref="B47"/>
    <hyperlink r:id="rId80" ref="X47"/>
    <hyperlink r:id="rId81" ref="B49"/>
    <hyperlink r:id="rId82" ref="X49"/>
    <hyperlink r:id="rId83" ref="B50"/>
    <hyperlink r:id="rId84" ref="X50"/>
    <hyperlink r:id="rId85" ref="B51"/>
    <hyperlink r:id="rId86" ref="X51"/>
    <hyperlink r:id="rId87" ref="B52"/>
    <hyperlink r:id="rId88" ref="X52"/>
    <hyperlink r:id="rId89" ref="B53"/>
    <hyperlink r:id="rId90" ref="X53"/>
    <hyperlink r:id="rId91" ref="B54"/>
    <hyperlink r:id="rId92" ref="X54"/>
    <hyperlink r:id="rId93" ref="B55"/>
    <hyperlink r:id="rId94" ref="X55"/>
    <hyperlink r:id="rId95" ref="B56"/>
    <hyperlink r:id="rId96" ref="X56"/>
    <hyperlink r:id="rId97" ref="B57"/>
    <hyperlink r:id="rId98" ref="X57"/>
    <hyperlink r:id="rId99" ref="B58"/>
    <hyperlink r:id="rId100" ref="X58"/>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3.5"/>
    <col customWidth="1" min="5" max="5" width="14.25"/>
    <col customWidth="1" min="6" max="6" width="13.38"/>
    <col customWidth="1" min="7" max="7" width="13.5"/>
  </cols>
  <sheetData>
    <row r="1">
      <c r="A1" s="2"/>
      <c r="B1" s="31"/>
      <c r="C1" s="31" t="s">
        <v>295</v>
      </c>
    </row>
    <row r="2">
      <c r="A2" s="2" t="s">
        <v>296</v>
      </c>
      <c r="B2" s="31" t="s">
        <v>297</v>
      </c>
      <c r="C2" s="31" t="s">
        <v>18</v>
      </c>
      <c r="D2" s="31" t="s">
        <v>83</v>
      </c>
      <c r="E2" s="31" t="s">
        <v>137</v>
      </c>
      <c r="F2" s="31" t="s">
        <v>192</v>
      </c>
      <c r="G2" s="31" t="s">
        <v>246</v>
      </c>
    </row>
    <row r="3">
      <c r="A3" s="16">
        <v>6.0</v>
      </c>
      <c r="B3" s="15">
        <f>Datasheet!D5
</f>
        <v>2.4</v>
      </c>
      <c r="C3" s="15">
        <f>Datasheet!S5
</f>
        <v>3.5</v>
      </c>
      <c r="D3" s="29"/>
      <c r="E3" s="29"/>
    </row>
    <row r="4">
      <c r="A4" s="16">
        <v>64.0</v>
      </c>
      <c r="B4" s="15">
        <f>Datasheet!D6
</f>
        <v>2.7</v>
      </c>
      <c r="C4" s="15">
        <f>Datasheet!S6
</f>
        <v>2.5</v>
      </c>
      <c r="D4" s="29"/>
      <c r="E4" s="29"/>
    </row>
    <row r="5">
      <c r="A5" s="16">
        <v>73.0</v>
      </c>
      <c r="B5" s="15">
        <f>Datasheet!D7
</f>
        <v>2.7</v>
      </c>
      <c r="C5" s="15">
        <f>Datasheet!S7
</f>
        <v>2</v>
      </c>
      <c r="D5" s="29"/>
      <c r="E5" s="29"/>
    </row>
    <row r="6">
      <c r="A6" s="16">
        <v>266.0</v>
      </c>
      <c r="B6" s="15">
        <f>Datasheet!D8
</f>
        <v>2.6</v>
      </c>
      <c r="C6" s="15">
        <f>Datasheet!S8
</f>
        <v>3.5</v>
      </c>
      <c r="D6" s="29"/>
      <c r="E6" s="29"/>
    </row>
    <row r="7">
      <c r="A7" s="16">
        <v>317.0</v>
      </c>
      <c r="B7" s="15">
        <f>Datasheet!D9
</f>
        <v>2.3</v>
      </c>
      <c r="C7" s="15">
        <f>Datasheet!S9
</f>
        <v>2.5</v>
      </c>
      <c r="D7" s="29"/>
      <c r="E7" s="29"/>
    </row>
    <row r="8">
      <c r="A8" s="16">
        <v>375.0</v>
      </c>
      <c r="B8" s="15">
        <f>Datasheet!D10
</f>
        <v>2.5</v>
      </c>
      <c r="C8" s="15">
        <f>Datasheet!S10
</f>
        <v>2.5</v>
      </c>
      <c r="D8" s="29"/>
      <c r="E8" s="29"/>
    </row>
    <row r="9">
      <c r="A9" s="16">
        <v>411.0</v>
      </c>
      <c r="B9" s="15">
        <f>Datasheet!D11
</f>
        <v>2.4</v>
      </c>
      <c r="C9" s="15">
        <f>Datasheet!S11
</f>
        <v>3</v>
      </c>
      <c r="D9" s="29"/>
      <c r="E9" s="29"/>
    </row>
    <row r="10">
      <c r="A10" s="16">
        <v>457.0</v>
      </c>
      <c r="B10" s="15">
        <f>Datasheet!D12
</f>
        <v>2.2</v>
      </c>
      <c r="C10" s="15">
        <f>Datasheet!S12
</f>
        <v>3</v>
      </c>
      <c r="D10" s="29"/>
      <c r="E10" s="29"/>
    </row>
    <row r="11">
      <c r="A11" s="16">
        <v>467.0</v>
      </c>
      <c r="B11" s="15">
        <f>Datasheet!D13
</f>
        <v>2.8</v>
      </c>
      <c r="C11" s="15">
        <f>Datasheet!S13
</f>
        <v>3</v>
      </c>
      <c r="D11" s="29"/>
      <c r="E11" s="29"/>
    </row>
    <row r="12">
      <c r="A12" s="16">
        <v>540.0</v>
      </c>
      <c r="B12" s="15">
        <f>Datasheet!D14
</f>
        <v>2.8</v>
      </c>
      <c r="C12" s="15">
        <f>Datasheet!S14
</f>
        <v>3</v>
      </c>
      <c r="D12" s="29"/>
      <c r="E12" s="29"/>
    </row>
    <row r="13">
      <c r="A13" s="29"/>
      <c r="B13" s="29"/>
      <c r="C13" s="29"/>
      <c r="D13" s="29"/>
      <c r="E13" s="29"/>
    </row>
    <row r="14">
      <c r="A14" s="29"/>
      <c r="B14" s="29"/>
      <c r="C14" s="29"/>
      <c r="D14" s="29"/>
      <c r="E14" s="29"/>
    </row>
    <row r="15">
      <c r="A15" s="16">
        <v>150.0</v>
      </c>
      <c r="B15" s="15">
        <f>Datasheet!D16
</f>
        <v>3.1</v>
      </c>
      <c r="C15" s="29"/>
      <c r="D15" s="15">
        <f>Datasheet!S16
</f>
        <v>4</v>
      </c>
      <c r="E15" s="29"/>
    </row>
    <row r="16">
      <c r="A16" s="16">
        <v>220.0</v>
      </c>
      <c r="B16" s="15">
        <f>Datasheet!D17
</f>
        <v>2.8</v>
      </c>
      <c r="C16" s="29"/>
      <c r="D16" s="15">
        <f>Datasheet!S17
</f>
        <v>3</v>
      </c>
      <c r="E16" s="29"/>
    </row>
    <row r="17">
      <c r="A17" s="16">
        <v>272.0</v>
      </c>
      <c r="B17" s="15">
        <f>Datasheet!D18
</f>
        <v>3.1</v>
      </c>
      <c r="C17" s="29"/>
      <c r="D17" s="15">
        <f>Datasheet!S18
</f>
        <v>4</v>
      </c>
      <c r="E17" s="29"/>
    </row>
    <row r="18">
      <c r="A18" s="16">
        <v>418.0</v>
      </c>
      <c r="B18" s="15">
        <f>Datasheet!D19
</f>
        <v>3.1</v>
      </c>
      <c r="C18" s="29"/>
      <c r="D18" s="15">
        <f>Datasheet!S19
</f>
        <v>4</v>
      </c>
      <c r="E18" s="29"/>
    </row>
    <row r="19">
      <c r="A19" s="16">
        <v>451.0</v>
      </c>
      <c r="B19" s="15">
        <f>Datasheet!D20
</f>
        <v>2.8</v>
      </c>
      <c r="C19" s="29"/>
      <c r="D19" s="15">
        <f>Datasheet!S20
</f>
        <v>4</v>
      </c>
      <c r="E19" s="29"/>
    </row>
    <row r="20">
      <c r="A20" s="16">
        <v>475.0</v>
      </c>
      <c r="B20" s="15">
        <f>Datasheet!D21
</f>
        <v>2.9</v>
      </c>
      <c r="C20" s="29"/>
      <c r="D20" s="15">
        <f>Datasheet!S21
</f>
        <v>4</v>
      </c>
      <c r="E20" s="29"/>
    </row>
    <row r="21">
      <c r="A21" s="16">
        <v>50.0</v>
      </c>
      <c r="B21" s="15">
        <f>Datasheet!D22
</f>
        <v>3.2</v>
      </c>
      <c r="C21" s="29"/>
      <c r="D21" s="15">
        <f>Datasheet!S22
</f>
        <v>4</v>
      </c>
      <c r="E21" s="29"/>
    </row>
    <row r="22">
      <c r="A22" s="16">
        <v>511.0</v>
      </c>
      <c r="B22" s="15">
        <f>Datasheet!D23
</f>
        <v>2.8</v>
      </c>
      <c r="C22" s="29"/>
      <c r="D22" s="15">
        <f>Datasheet!S23
</f>
        <v>3.5</v>
      </c>
      <c r="E22" s="29"/>
    </row>
    <row r="23">
      <c r="A23" s="16">
        <v>529.0</v>
      </c>
      <c r="B23" s="15">
        <f>Datasheet!D24
</f>
        <v>3</v>
      </c>
      <c r="C23" s="29"/>
      <c r="D23" s="15">
        <f>Datasheet!S24
</f>
        <v>3.5</v>
      </c>
      <c r="E23" s="29"/>
    </row>
    <row r="24">
      <c r="A24" s="16">
        <v>531.0</v>
      </c>
      <c r="B24" s="15">
        <f>Datasheet!D25
</f>
        <v>2.8</v>
      </c>
      <c r="C24" s="29"/>
      <c r="D24" s="15">
        <f>Datasheet!S25
</f>
        <v>3.5</v>
      </c>
      <c r="E24" s="29"/>
    </row>
    <row r="25">
      <c r="A25" s="29"/>
      <c r="B25" s="29"/>
      <c r="C25" s="29"/>
      <c r="D25" s="29"/>
      <c r="E25" s="29"/>
    </row>
    <row r="26">
      <c r="A26" s="29"/>
      <c r="B26" s="29"/>
      <c r="C26" s="29"/>
      <c r="D26" s="29"/>
      <c r="E26" s="29"/>
    </row>
    <row r="27">
      <c r="A27" s="16">
        <v>58.0</v>
      </c>
      <c r="B27" s="15">
        <f>Datasheet!D27
</f>
        <v>3.2</v>
      </c>
      <c r="C27" s="29"/>
      <c r="D27" s="29"/>
      <c r="E27" s="15">
        <f>Datasheet!S27
</f>
        <v>4</v>
      </c>
    </row>
    <row r="28">
      <c r="A28" s="16">
        <v>77.0</v>
      </c>
      <c r="B28" s="15">
        <f>Datasheet!D28
</f>
        <v>2.8</v>
      </c>
      <c r="C28" s="29"/>
      <c r="D28" s="29"/>
      <c r="E28" s="15">
        <f>Datasheet!S28
</f>
        <v>3.5</v>
      </c>
    </row>
    <row r="29">
      <c r="A29" s="16">
        <v>92.0</v>
      </c>
      <c r="B29" s="15">
        <f>Datasheet!D29
</f>
        <v>3</v>
      </c>
      <c r="C29" s="29"/>
      <c r="D29" s="29"/>
      <c r="E29" s="15">
        <f>Datasheet!S29
</f>
        <v>4</v>
      </c>
    </row>
    <row r="30">
      <c r="A30" s="16">
        <v>124.0</v>
      </c>
      <c r="B30" s="15">
        <f>Datasheet!D30
</f>
        <v>2.9</v>
      </c>
      <c r="C30" s="29"/>
      <c r="D30" s="29"/>
      <c r="E30" s="15">
        <f>Datasheet!S30
</f>
        <v>3.5</v>
      </c>
    </row>
    <row r="31">
      <c r="A31" s="16">
        <v>155.0</v>
      </c>
      <c r="B31" s="15">
        <f>Datasheet!D31
</f>
        <v>3.4</v>
      </c>
      <c r="C31" s="29"/>
      <c r="D31" s="29"/>
      <c r="E31" s="15">
        <f>Datasheet!S31
</f>
        <v>4</v>
      </c>
    </row>
    <row r="32">
      <c r="A32" s="16">
        <v>248.0</v>
      </c>
      <c r="B32" s="15">
        <f>Datasheet!D32
</f>
        <v>2.6</v>
      </c>
      <c r="C32" s="29"/>
      <c r="D32" s="29"/>
      <c r="E32" s="15">
        <f>Datasheet!S32
</f>
        <v>4</v>
      </c>
    </row>
    <row r="33">
      <c r="A33" s="16">
        <v>256.0</v>
      </c>
      <c r="B33" s="15">
        <f>Datasheet!D33
</f>
        <v>3.1</v>
      </c>
      <c r="C33" s="29"/>
      <c r="D33" s="29"/>
      <c r="E33" s="15">
        <f>Datasheet!S33
</f>
        <v>4</v>
      </c>
    </row>
    <row r="34">
      <c r="A34" s="16">
        <v>345.0</v>
      </c>
      <c r="B34" s="15">
        <f>Datasheet!D34
</f>
        <v>3.2</v>
      </c>
      <c r="C34" s="29"/>
      <c r="D34" s="29"/>
      <c r="E34" s="15">
        <f>Datasheet!S34
</f>
        <v>4</v>
      </c>
    </row>
    <row r="35">
      <c r="A35" s="16">
        <v>380.0</v>
      </c>
      <c r="B35" s="15">
        <f>Datasheet!D35
</f>
        <v>3.2</v>
      </c>
      <c r="C35" s="29"/>
      <c r="D35" s="29"/>
      <c r="E35" s="15">
        <f>Datasheet!S35
</f>
        <v>3</v>
      </c>
    </row>
    <row r="36">
      <c r="A36" s="16">
        <v>552.0</v>
      </c>
      <c r="B36" s="15">
        <f>Datasheet!D36
</f>
        <v>3.2</v>
      </c>
      <c r="C36" s="29"/>
      <c r="D36" s="29"/>
      <c r="E36" s="15">
        <f>Datasheet!S36
</f>
        <v>4</v>
      </c>
    </row>
    <row r="39">
      <c r="A39" s="16">
        <v>32.0</v>
      </c>
      <c r="B39" s="15">
        <f>Datasheet!D38
</f>
        <v>3.4</v>
      </c>
      <c r="F39" s="29">
        <f>Datasheet!S38
</f>
        <v>4</v>
      </c>
    </row>
    <row r="40">
      <c r="A40" s="16">
        <v>41.0</v>
      </c>
      <c r="B40" s="15">
        <f>Datasheet!D39
</f>
        <v>3.5</v>
      </c>
      <c r="F40" s="29">
        <f>Datasheet!S39
</f>
        <v>4</v>
      </c>
    </row>
    <row r="41">
      <c r="A41" s="16">
        <v>194.0</v>
      </c>
      <c r="B41" s="15">
        <f>Datasheet!D40
</f>
        <v>4</v>
      </c>
      <c r="F41" s="29">
        <f>Datasheet!S40
</f>
        <v>4</v>
      </c>
    </row>
    <row r="42">
      <c r="A42" s="16">
        <v>321.0</v>
      </c>
      <c r="B42" s="15">
        <f>Datasheet!D41
</f>
        <v>2.9</v>
      </c>
      <c r="F42" s="29">
        <f>Datasheet!S41
</f>
        <v>3.5</v>
      </c>
    </row>
    <row r="43">
      <c r="A43" s="16">
        <v>376.0</v>
      </c>
      <c r="B43" s="15">
        <f>Datasheet!D42
</f>
        <v>3.1</v>
      </c>
      <c r="F43" s="29">
        <f>Datasheet!S42
</f>
        <v>4</v>
      </c>
    </row>
    <row r="44">
      <c r="A44" s="16">
        <v>402.0</v>
      </c>
      <c r="B44" s="15">
        <f>Datasheet!D43
</f>
        <v>3.3</v>
      </c>
      <c r="F44" s="29">
        <f>Datasheet!S43
</f>
        <v>4</v>
      </c>
    </row>
    <row r="45">
      <c r="A45" s="16">
        <v>435.0</v>
      </c>
      <c r="B45" s="15">
        <f>Datasheet!D44
</f>
        <v>3.1</v>
      </c>
      <c r="F45" s="29">
        <f>Datasheet!S44
</f>
        <v>3</v>
      </c>
    </row>
    <row r="46">
      <c r="A46" s="16">
        <v>440.0</v>
      </c>
      <c r="B46" s="15">
        <f>Datasheet!D45
</f>
        <v>2.9</v>
      </c>
      <c r="F46" s="29">
        <f>Datasheet!S45
</f>
        <v>3.5</v>
      </c>
    </row>
    <row r="47">
      <c r="A47" s="16">
        <v>485.0</v>
      </c>
      <c r="B47" s="15">
        <f>Datasheet!D46
</f>
        <v>3.7</v>
      </c>
      <c r="F47" s="29">
        <f>Datasheet!S46
</f>
        <v>3</v>
      </c>
    </row>
    <row r="48">
      <c r="A48" s="16">
        <v>566.0</v>
      </c>
      <c r="B48" s="15">
        <f>Datasheet!D47
</f>
        <v>3.4</v>
      </c>
      <c r="F48" s="29">
        <f>Datasheet!S47
</f>
        <v>4</v>
      </c>
    </row>
    <row r="51">
      <c r="A51" s="16">
        <v>89.0</v>
      </c>
      <c r="B51" s="32">
        <f>Datasheet!D49
</f>
        <v>3.9</v>
      </c>
      <c r="G51" s="29">
        <f>Datasheet!S49
</f>
        <v>4</v>
      </c>
    </row>
    <row r="52">
      <c r="A52" s="16">
        <v>108.0</v>
      </c>
      <c r="B52" s="32">
        <f>Datasheet!D50
</f>
        <v>3.8</v>
      </c>
      <c r="G52" s="29">
        <f>Datasheet!S50
</f>
        <v>4</v>
      </c>
    </row>
    <row r="53">
      <c r="A53" s="16">
        <v>109.0</v>
      </c>
      <c r="B53" s="32">
        <f>Datasheet!D51
</f>
        <v>3.6</v>
      </c>
      <c r="G53" s="29">
        <f>Datasheet!S51
</f>
        <v>4</v>
      </c>
    </row>
    <row r="54">
      <c r="A54" s="16">
        <v>325.0</v>
      </c>
      <c r="B54" s="32">
        <f>Datasheet!D52
</f>
        <v>3.6</v>
      </c>
      <c r="G54" s="29">
        <f>Datasheet!S52
</f>
        <v>4</v>
      </c>
    </row>
    <row r="55">
      <c r="A55" s="16">
        <v>371.0</v>
      </c>
      <c r="B55" s="32">
        <f>Datasheet!D53
</f>
        <v>3.4</v>
      </c>
      <c r="G55" s="29">
        <f>Datasheet!S53
</f>
        <v>4</v>
      </c>
    </row>
    <row r="56">
      <c r="A56" s="16">
        <v>432.0</v>
      </c>
      <c r="B56" s="32">
        <f>Datasheet!D54
</f>
        <v>3.9</v>
      </c>
      <c r="G56" s="29">
        <f>Datasheet!S54
</f>
        <v>4</v>
      </c>
    </row>
    <row r="57">
      <c r="A57" s="16">
        <v>493.0</v>
      </c>
      <c r="B57" s="32">
        <f>Datasheet!D55
</f>
        <v>3.8</v>
      </c>
      <c r="G57" s="29">
        <f>Datasheet!S55
</f>
        <v>4</v>
      </c>
    </row>
    <row r="58">
      <c r="A58" s="16">
        <v>515.0</v>
      </c>
      <c r="B58" s="32">
        <f>Datasheet!D56
</f>
        <v>3.6</v>
      </c>
      <c r="G58" s="29">
        <f>Datasheet!S56
</f>
        <v>4</v>
      </c>
    </row>
    <row r="59">
      <c r="A59" s="16">
        <v>549.0</v>
      </c>
      <c r="B59" s="32">
        <f>Datasheet!D57
</f>
        <v>4</v>
      </c>
      <c r="G59" s="29">
        <f>Datasheet!S57
</f>
        <v>3.5</v>
      </c>
    </row>
    <row r="60">
      <c r="A60" s="16">
        <v>584.0</v>
      </c>
      <c r="B60" s="32">
        <f>Datasheet!D58
</f>
        <v>3.8</v>
      </c>
      <c r="G60" s="29">
        <f>Datasheet!S58
</f>
        <v>4</v>
      </c>
    </row>
  </sheetData>
  <mergeCells count="1">
    <mergeCell ref="C1:G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s>
  <sheetData>
    <row r="1">
      <c r="A1" s="2" t="s">
        <v>298</v>
      </c>
      <c r="B1" s="31" t="s">
        <v>299</v>
      </c>
      <c r="C1" s="31" t="s">
        <v>300</v>
      </c>
    </row>
    <row r="2">
      <c r="A2" s="16">
        <v>1.0</v>
      </c>
      <c r="B2" s="15">
        <f>Datasheet!D5
</f>
        <v>2.4</v>
      </c>
      <c r="C2" s="15">
        <f>Datasheet!S5
</f>
        <v>3.5</v>
      </c>
    </row>
    <row r="3">
      <c r="A3" s="16">
        <v>1.0</v>
      </c>
      <c r="B3" s="15">
        <f>Datasheet!D6
</f>
        <v>2.7</v>
      </c>
      <c r="C3" s="15">
        <f>Datasheet!S6
</f>
        <v>2.5</v>
      </c>
    </row>
    <row r="4">
      <c r="A4" s="16">
        <v>1.0</v>
      </c>
      <c r="B4" s="15">
        <f>Datasheet!D7
</f>
        <v>2.7</v>
      </c>
      <c r="C4" s="15">
        <f>Datasheet!S7
</f>
        <v>2</v>
      </c>
    </row>
    <row r="5">
      <c r="A5" s="16">
        <v>1.0</v>
      </c>
      <c r="B5" s="15">
        <f>Datasheet!D8
</f>
        <v>2.6</v>
      </c>
      <c r="C5" s="15">
        <f>Datasheet!S8
</f>
        <v>3.5</v>
      </c>
    </row>
    <row r="6">
      <c r="A6" s="16">
        <v>1.0</v>
      </c>
      <c r="B6" s="15">
        <f>Datasheet!D9
</f>
        <v>2.3</v>
      </c>
      <c r="C6" s="15">
        <f>Datasheet!S9
</f>
        <v>2.5</v>
      </c>
    </row>
    <row r="7">
      <c r="A7" s="16">
        <v>1.0</v>
      </c>
      <c r="B7" s="15">
        <f>Datasheet!D10
</f>
        <v>2.5</v>
      </c>
      <c r="C7" s="15">
        <f>Datasheet!S10
</f>
        <v>2.5</v>
      </c>
    </row>
    <row r="8">
      <c r="A8" s="16">
        <v>1.0</v>
      </c>
      <c r="B8" s="15">
        <f>Datasheet!D11
</f>
        <v>2.4</v>
      </c>
      <c r="C8" s="15">
        <f>Datasheet!S11
</f>
        <v>3</v>
      </c>
    </row>
    <row r="9">
      <c r="A9" s="16">
        <v>1.0</v>
      </c>
      <c r="B9" s="15">
        <f>Datasheet!D12
</f>
        <v>2.2</v>
      </c>
      <c r="C9" s="15">
        <f>Datasheet!S12
</f>
        <v>3</v>
      </c>
    </row>
    <row r="10">
      <c r="A10" s="16">
        <v>1.0</v>
      </c>
      <c r="B10" s="15">
        <f>Datasheet!D13
</f>
        <v>2.8</v>
      </c>
      <c r="C10" s="15">
        <f>Datasheet!S13
</f>
        <v>3</v>
      </c>
    </row>
    <row r="11">
      <c r="A11" s="16">
        <v>1.0</v>
      </c>
      <c r="B11" s="15">
        <f>Datasheet!D14
</f>
        <v>2.8</v>
      </c>
      <c r="C11" s="15">
        <f>Datasheet!S14
</f>
        <v>3</v>
      </c>
    </row>
    <row r="12">
      <c r="A12" s="16">
        <v>2.0</v>
      </c>
      <c r="B12" s="15">
        <f>Datasheet!D16
</f>
        <v>3.1</v>
      </c>
      <c r="C12" s="15">
        <f>Datasheet!S16
</f>
        <v>4</v>
      </c>
    </row>
    <row r="13">
      <c r="A13" s="16">
        <v>2.0</v>
      </c>
      <c r="B13" s="15">
        <f>Datasheet!D17
</f>
        <v>2.8</v>
      </c>
      <c r="C13" s="15">
        <f>Datasheet!S17
</f>
        <v>3</v>
      </c>
    </row>
    <row r="14">
      <c r="A14" s="16">
        <v>2.0</v>
      </c>
      <c r="B14" s="15">
        <f>Datasheet!D18
</f>
        <v>3.1</v>
      </c>
      <c r="C14" s="15">
        <f>Datasheet!S18
</f>
        <v>4</v>
      </c>
    </row>
    <row r="15">
      <c r="A15" s="16">
        <v>2.0</v>
      </c>
      <c r="B15" s="15">
        <f>Datasheet!D19
</f>
        <v>3.1</v>
      </c>
      <c r="C15" s="15">
        <f>Datasheet!S19
</f>
        <v>4</v>
      </c>
    </row>
    <row r="16">
      <c r="A16" s="16">
        <v>2.0</v>
      </c>
      <c r="B16" s="15">
        <f>Datasheet!D20
</f>
        <v>2.8</v>
      </c>
      <c r="C16" s="15">
        <f>Datasheet!S20
</f>
        <v>4</v>
      </c>
    </row>
    <row r="17">
      <c r="A17" s="16">
        <v>2.0</v>
      </c>
      <c r="B17" s="15">
        <f>Datasheet!D21
</f>
        <v>2.9</v>
      </c>
      <c r="C17" s="15">
        <f>Datasheet!S21
</f>
        <v>4</v>
      </c>
    </row>
    <row r="18">
      <c r="A18" s="16">
        <v>2.0</v>
      </c>
      <c r="B18" s="15">
        <f>Datasheet!D22
</f>
        <v>3.2</v>
      </c>
      <c r="C18" s="15">
        <f>Datasheet!S22
</f>
        <v>4</v>
      </c>
    </row>
    <row r="19">
      <c r="A19" s="16">
        <v>2.0</v>
      </c>
      <c r="B19" s="15">
        <f>Datasheet!D23
</f>
        <v>2.8</v>
      </c>
      <c r="C19" s="15">
        <f>Datasheet!S23
</f>
        <v>3.5</v>
      </c>
    </row>
    <row r="20">
      <c r="A20" s="16">
        <v>2.0</v>
      </c>
      <c r="B20" s="15">
        <f>Datasheet!D24
</f>
        <v>3</v>
      </c>
      <c r="C20" s="15">
        <f>Datasheet!S24
</f>
        <v>3.5</v>
      </c>
    </row>
    <row r="21">
      <c r="A21" s="16">
        <v>2.0</v>
      </c>
      <c r="B21" s="15">
        <f>Datasheet!D25
</f>
        <v>2.8</v>
      </c>
      <c r="C21" s="15">
        <f>Datasheet!S25
</f>
        <v>3.5</v>
      </c>
    </row>
    <row r="22">
      <c r="A22" s="16">
        <v>3.0</v>
      </c>
      <c r="B22" s="15">
        <f>Datasheet!D27
</f>
        <v>3.2</v>
      </c>
      <c r="C22" s="15">
        <f>Datasheet!S27
</f>
        <v>4</v>
      </c>
    </row>
    <row r="23">
      <c r="A23" s="16">
        <v>3.0</v>
      </c>
      <c r="B23" s="15">
        <f>Datasheet!D28
</f>
        <v>2.8</v>
      </c>
      <c r="C23" s="15">
        <f>Datasheet!S28
</f>
        <v>3.5</v>
      </c>
    </row>
    <row r="24">
      <c r="A24" s="16">
        <v>3.0</v>
      </c>
      <c r="B24" s="15">
        <f>Datasheet!D29
</f>
        <v>3</v>
      </c>
      <c r="C24" s="15">
        <f>Datasheet!S29
</f>
        <v>4</v>
      </c>
    </row>
    <row r="25">
      <c r="A25" s="16">
        <v>3.0</v>
      </c>
      <c r="B25" s="15">
        <f>Datasheet!D30
</f>
        <v>2.9</v>
      </c>
      <c r="C25" s="15">
        <f>Datasheet!S30
</f>
        <v>3.5</v>
      </c>
    </row>
    <row r="26">
      <c r="A26" s="16">
        <v>3.0</v>
      </c>
      <c r="B26" s="15">
        <f>Datasheet!D31
</f>
        <v>3.4</v>
      </c>
      <c r="C26" s="15">
        <f>Datasheet!S31
</f>
        <v>4</v>
      </c>
    </row>
    <row r="27">
      <c r="A27" s="16">
        <v>3.0</v>
      </c>
      <c r="B27" s="15">
        <f>Datasheet!D32
</f>
        <v>2.6</v>
      </c>
      <c r="C27" s="15">
        <f>Datasheet!S32
</f>
        <v>4</v>
      </c>
    </row>
    <row r="28">
      <c r="A28" s="16">
        <v>3.0</v>
      </c>
      <c r="B28" s="15">
        <f>Datasheet!D33
</f>
        <v>3.1</v>
      </c>
      <c r="C28" s="15">
        <f>Datasheet!S33
</f>
        <v>4</v>
      </c>
    </row>
    <row r="29">
      <c r="A29" s="16">
        <v>3.0</v>
      </c>
      <c r="B29" s="15">
        <f>Datasheet!D34
</f>
        <v>3.2</v>
      </c>
      <c r="C29" s="15">
        <f>Datasheet!S34
</f>
        <v>4</v>
      </c>
    </row>
    <row r="30">
      <c r="A30" s="16">
        <v>3.0</v>
      </c>
      <c r="B30" s="15">
        <f>Datasheet!D35
</f>
        <v>3.2</v>
      </c>
      <c r="C30" s="15">
        <f>Datasheet!S35
</f>
        <v>3</v>
      </c>
    </row>
    <row r="31">
      <c r="A31" s="16">
        <v>3.0</v>
      </c>
      <c r="B31" s="15">
        <f>Datasheet!D36
</f>
        <v>3.2</v>
      </c>
      <c r="C31" s="15">
        <f>Datasheet!S36
</f>
        <v>4</v>
      </c>
    </row>
    <row r="32">
      <c r="A32" s="16">
        <v>4.0</v>
      </c>
      <c r="B32" s="15">
        <f>Datasheet!D38
</f>
        <v>3.4</v>
      </c>
      <c r="C32" s="29">
        <f>Datasheet!S38
</f>
        <v>4</v>
      </c>
    </row>
    <row r="33">
      <c r="A33" s="16">
        <v>4.0</v>
      </c>
      <c r="B33" s="15">
        <f>Datasheet!D39
</f>
        <v>3.5</v>
      </c>
      <c r="C33" s="29">
        <f>Datasheet!S39
</f>
        <v>4</v>
      </c>
    </row>
    <row r="34">
      <c r="A34" s="16">
        <v>4.0</v>
      </c>
      <c r="B34" s="15">
        <f>Datasheet!D40
</f>
        <v>4</v>
      </c>
      <c r="C34" s="29">
        <f>Datasheet!S40
</f>
        <v>4</v>
      </c>
    </row>
    <row r="35">
      <c r="A35" s="16">
        <v>4.0</v>
      </c>
      <c r="B35" s="15">
        <f>Datasheet!D41
</f>
        <v>2.9</v>
      </c>
      <c r="C35" s="29">
        <f>Datasheet!S41
</f>
        <v>3.5</v>
      </c>
    </row>
    <row r="36">
      <c r="A36" s="16">
        <v>4.0</v>
      </c>
      <c r="B36" s="15">
        <f>Datasheet!D42
</f>
        <v>3.1</v>
      </c>
      <c r="C36" s="29">
        <f>Datasheet!S42
</f>
        <v>4</v>
      </c>
    </row>
    <row r="37">
      <c r="A37" s="16">
        <v>4.0</v>
      </c>
      <c r="B37" s="15">
        <f>Datasheet!D43
</f>
        <v>3.3</v>
      </c>
      <c r="C37" s="29">
        <f>Datasheet!S43
</f>
        <v>4</v>
      </c>
    </row>
    <row r="38">
      <c r="A38" s="16">
        <v>4.0</v>
      </c>
      <c r="B38" s="15">
        <f>Datasheet!D44
</f>
        <v>3.1</v>
      </c>
      <c r="C38" s="29">
        <f>Datasheet!S44
</f>
        <v>3</v>
      </c>
    </row>
    <row r="39">
      <c r="A39" s="16">
        <v>4.0</v>
      </c>
      <c r="B39" s="15">
        <f>Datasheet!D45
</f>
        <v>2.9</v>
      </c>
      <c r="C39" s="29">
        <f>Datasheet!S45
</f>
        <v>3.5</v>
      </c>
    </row>
    <row r="40">
      <c r="A40" s="16">
        <v>4.0</v>
      </c>
      <c r="B40" s="15">
        <f>Datasheet!D46
</f>
        <v>3.7</v>
      </c>
      <c r="C40" s="29">
        <f>Datasheet!S46
</f>
        <v>3</v>
      </c>
    </row>
    <row r="41">
      <c r="A41" s="16">
        <v>4.0</v>
      </c>
      <c r="B41" s="15">
        <f>Datasheet!D47
</f>
        <v>3.4</v>
      </c>
      <c r="C41" s="29">
        <f>Datasheet!S47
</f>
        <v>4</v>
      </c>
    </row>
    <row r="42">
      <c r="A42" s="16">
        <v>5.0</v>
      </c>
      <c r="B42" s="29">
        <f>Datasheet!D49
</f>
        <v>3.9</v>
      </c>
      <c r="C42" s="29">
        <f>Datasheet!S49
</f>
        <v>4</v>
      </c>
    </row>
    <row r="43">
      <c r="A43" s="16">
        <v>5.0</v>
      </c>
      <c r="B43" s="29">
        <f>Datasheet!D50
</f>
        <v>3.8</v>
      </c>
      <c r="C43" s="29">
        <f>Datasheet!S50
</f>
        <v>4</v>
      </c>
    </row>
    <row r="44">
      <c r="A44" s="16">
        <v>5.0</v>
      </c>
      <c r="B44" s="29">
        <f>Datasheet!D51
</f>
        <v>3.6</v>
      </c>
      <c r="C44" s="29">
        <f>Datasheet!S51
</f>
        <v>4</v>
      </c>
    </row>
    <row r="45">
      <c r="A45" s="16">
        <v>5.0</v>
      </c>
      <c r="B45" s="29">
        <f>Datasheet!D52
</f>
        <v>3.6</v>
      </c>
      <c r="C45" s="29">
        <f>Datasheet!S52
</f>
        <v>4</v>
      </c>
    </row>
    <row r="46">
      <c r="A46" s="16">
        <v>5.0</v>
      </c>
      <c r="B46" s="29">
        <f>Datasheet!D53
</f>
        <v>3.4</v>
      </c>
      <c r="C46" s="29">
        <f>Datasheet!S53
</f>
        <v>4</v>
      </c>
    </row>
    <row r="47">
      <c r="A47" s="16">
        <v>5.0</v>
      </c>
      <c r="B47" s="29">
        <f>Datasheet!D54
</f>
        <v>3.9</v>
      </c>
      <c r="C47" s="29">
        <f>Datasheet!S54
</f>
        <v>4</v>
      </c>
    </row>
    <row r="48">
      <c r="A48" s="16">
        <v>5.0</v>
      </c>
      <c r="B48" s="29">
        <f>Datasheet!D55
</f>
        <v>3.8</v>
      </c>
      <c r="C48" s="29">
        <f>Datasheet!S55
</f>
        <v>4</v>
      </c>
    </row>
    <row r="49">
      <c r="A49" s="16">
        <v>5.0</v>
      </c>
      <c r="B49" s="29">
        <f>Datasheet!D56
</f>
        <v>3.6</v>
      </c>
      <c r="C49" s="29">
        <f>Datasheet!S56
</f>
        <v>4</v>
      </c>
    </row>
    <row r="50">
      <c r="A50" s="16">
        <v>5.0</v>
      </c>
      <c r="B50" s="29">
        <f>Datasheet!D57
</f>
        <v>4</v>
      </c>
      <c r="C50" s="29">
        <f>Datasheet!S57
</f>
        <v>3.5</v>
      </c>
    </row>
    <row r="51">
      <c r="A51" s="16">
        <v>5.0</v>
      </c>
      <c r="B51" s="29">
        <f>Datasheet!D58
</f>
        <v>3.8</v>
      </c>
      <c r="C51" s="29">
        <f>Datasheet!S58
</f>
        <v>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298</v>
      </c>
      <c r="B1" s="33" t="s">
        <v>301</v>
      </c>
      <c r="C1" s="33" t="s">
        <v>302</v>
      </c>
      <c r="D1" s="33" t="s">
        <v>303</v>
      </c>
      <c r="E1" s="33" t="s">
        <v>304</v>
      </c>
      <c r="F1" s="2" t="s">
        <v>305</v>
      </c>
    </row>
    <row r="2">
      <c r="A2" s="16">
        <v>1.0</v>
      </c>
      <c r="B2" s="15">
        <f>MIN(Plot!B3:B12)</f>
        <v>2.2</v>
      </c>
      <c r="C2" s="29">
        <f>QUARTILE(Plot!B3:B12,1)</f>
        <v>2.4</v>
      </c>
      <c r="D2" s="15">
        <f>MEDIAN(Plot!B3:B12)</f>
        <v>2.55</v>
      </c>
      <c r="E2" s="29">
        <f>QUARTILE(Plot!B3:B12,3)</f>
        <v>2.7</v>
      </c>
      <c r="F2" s="15">
        <f>MAX(Plot!B3:B12)</f>
        <v>2.8</v>
      </c>
    </row>
    <row r="3">
      <c r="A3" s="16">
        <v>2.0</v>
      </c>
      <c r="B3" s="15">
        <f>MIN(Plot!B15:B24)</f>
        <v>2.8</v>
      </c>
      <c r="C3" s="29">
        <f>QUARTILE(Plot!B15:B24,1)</f>
        <v>2.8</v>
      </c>
      <c r="D3" s="15">
        <f>MEDIAN(Plot!B15:B24)</f>
        <v>2.95</v>
      </c>
      <c r="E3" s="29">
        <f>QUARTILE(Plot!B15:B24,3)</f>
        <v>3.1</v>
      </c>
      <c r="F3" s="15">
        <f>MAX(Plot!B15:B24)</f>
        <v>3.2</v>
      </c>
    </row>
    <row r="4">
      <c r="A4" s="16">
        <v>3.0</v>
      </c>
      <c r="B4" s="15">
        <f>MIN(Plot!B27:B36)</f>
        <v>2.6</v>
      </c>
      <c r="C4" s="29">
        <f>QUARTILE(Plot!B27:B36,1)</f>
        <v>2.925</v>
      </c>
      <c r="D4" s="15">
        <f>MEDIAN(Plot!B27:B36)</f>
        <v>3.15</v>
      </c>
      <c r="E4" s="29">
        <f>QUARTILE(Plot!B27:B36,3)</f>
        <v>3.2</v>
      </c>
      <c r="F4" s="15">
        <f>MAX(Plot!B27:B36)</f>
        <v>3.4</v>
      </c>
    </row>
    <row r="5">
      <c r="A5" s="16">
        <v>4.0</v>
      </c>
      <c r="B5" s="15">
        <f>MIN(Plot!B39:B48)</f>
        <v>2.9</v>
      </c>
      <c r="C5" s="29">
        <f>QUARTILE(Plot!B39:B48,1)</f>
        <v>3.1</v>
      </c>
      <c r="D5" s="15">
        <f>MEDIAN(Plot!B39:B48)</f>
        <v>3.35</v>
      </c>
      <c r="E5" s="29">
        <f>QUARTILE(Plot!B39:B48,3)</f>
        <v>3.475</v>
      </c>
      <c r="F5" s="15">
        <f>MAX(Plot!B39:B48)</f>
        <v>4</v>
      </c>
    </row>
    <row r="6">
      <c r="A6" s="16">
        <v>5.0</v>
      </c>
      <c r="B6" s="29">
        <f>MIN(Plot!B51:B60)</f>
        <v>3.4</v>
      </c>
      <c r="C6" s="29">
        <f>QUARTILE(Plot!B51:B60,1)</f>
        <v>3.6</v>
      </c>
      <c r="D6" s="29">
        <f>MEDIAN(Plot!B51:B60)</f>
        <v>3.8</v>
      </c>
      <c r="E6" s="29">
        <f>QUARTILE(Plot!B51:B60,3)</f>
        <v>3.875</v>
      </c>
      <c r="F6" s="29">
        <f>MAX(Plot!B51:B60)</f>
        <v>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298</v>
      </c>
      <c r="B1" s="2" t="s">
        <v>301</v>
      </c>
      <c r="C1" s="2" t="s">
        <v>302</v>
      </c>
      <c r="D1" s="2" t="s">
        <v>303</v>
      </c>
      <c r="E1" s="2" t="s">
        <v>304</v>
      </c>
      <c r="F1" s="2" t="s">
        <v>305</v>
      </c>
    </row>
    <row r="2">
      <c r="A2" s="34" t="s">
        <v>306</v>
      </c>
      <c r="B2" s="15">
        <f>MIN(Datasheet!S5:S14)</f>
        <v>2</v>
      </c>
      <c r="C2" s="29">
        <f>QUARTILE(Datasheet!S5:S14,1)</f>
        <v>2.5</v>
      </c>
      <c r="D2" s="15">
        <f>MEDIAN(Datasheet!S5:S14)</f>
        <v>3</v>
      </c>
      <c r="E2" s="29">
        <f>QUARTILE(Datasheet!S5:S14,3)</f>
        <v>3</v>
      </c>
      <c r="F2" s="15">
        <f>MAX(Datasheet!S5:S14)</f>
        <v>3.5</v>
      </c>
    </row>
    <row r="3">
      <c r="A3" s="34" t="s">
        <v>307</v>
      </c>
      <c r="B3" s="15">
        <f>MIN(Datasheet!S16:S25)</f>
        <v>3</v>
      </c>
      <c r="C3" s="29">
        <f>QUARTILE(Datasheet!S16:S25,1)</f>
        <v>3.5</v>
      </c>
      <c r="D3" s="15">
        <f>MEDIAN(Datasheet!S16:S25)</f>
        <v>4</v>
      </c>
      <c r="E3" s="29">
        <f>QUARTILE(Datasheet!S16:S25,3)</f>
        <v>4</v>
      </c>
      <c r="F3" s="15">
        <f>MAX(Datasheet!S16:S25)</f>
        <v>4</v>
      </c>
    </row>
    <row r="4">
      <c r="A4" s="34" t="s">
        <v>308</v>
      </c>
      <c r="B4" s="15">
        <f>MIN(Datasheet!S27:S36)</f>
        <v>3</v>
      </c>
      <c r="C4" s="29">
        <f>QUARTILE(Datasheet!S27:S36,1)</f>
        <v>3.625</v>
      </c>
      <c r="D4" s="15">
        <f>MEDIAN(Datasheet!S27:S36)</f>
        <v>4</v>
      </c>
      <c r="E4" s="29">
        <f>QUARTILE(Datasheet!S27:S36,3)</f>
        <v>4</v>
      </c>
      <c r="F4" s="15">
        <f>MAX(Datasheet!S27:S36)</f>
        <v>4</v>
      </c>
    </row>
    <row r="5">
      <c r="A5" s="34" t="s">
        <v>309</v>
      </c>
      <c r="B5" s="29">
        <f>MIN(Datasheet!S38:S47)</f>
        <v>3</v>
      </c>
      <c r="C5" s="29">
        <f>QUARTILE(Datasheet!S38:S47,1)</f>
        <v>3.5</v>
      </c>
      <c r="D5" s="29">
        <f>MEDIAN(Datasheet!S38:S47)</f>
        <v>4</v>
      </c>
      <c r="E5" s="29">
        <f>QUARTILE(Datasheet!S38:S47,3)</f>
        <v>4</v>
      </c>
      <c r="F5" s="29">
        <f>MAX(Datasheet!S38:S47)</f>
        <v>4</v>
      </c>
    </row>
    <row r="6">
      <c r="A6" s="34" t="s">
        <v>310</v>
      </c>
      <c r="B6" s="29">
        <f>MIN(Datasheet!S49:S58)</f>
        <v>3.5</v>
      </c>
      <c r="C6" s="29">
        <f>QUARTILE(Datasheet!S49:S58,1)</f>
        <v>4</v>
      </c>
      <c r="D6" s="29">
        <f>MEDIAN(Datasheet!S49:S58)</f>
        <v>4</v>
      </c>
      <c r="E6" s="29">
        <f>QUARTILE(Datasheet!S49:S58,3)</f>
        <v>4</v>
      </c>
      <c r="F6" s="29">
        <f>MAX(Datasheet!S49:S58)</f>
        <v>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1.88"/>
    <col customWidth="1" min="3" max="4" width="21.25"/>
    <col customWidth="1" min="5" max="5" width="18.38"/>
    <col customWidth="1" min="6" max="6" width="23.0"/>
    <col customWidth="1" min="7" max="7" width="45.0"/>
  </cols>
  <sheetData>
    <row r="1">
      <c r="A1" s="35" t="s">
        <v>311</v>
      </c>
      <c r="F1" s="36"/>
      <c r="G1" s="36"/>
    </row>
    <row r="2">
      <c r="A2" s="37" t="s">
        <v>312</v>
      </c>
      <c r="B2" s="37" t="s">
        <v>313</v>
      </c>
      <c r="F2" s="36"/>
      <c r="G2" s="36"/>
    </row>
    <row r="3">
      <c r="A3" s="36" t="s">
        <v>314</v>
      </c>
      <c r="B3" s="38" t="s">
        <v>315</v>
      </c>
      <c r="F3" s="36"/>
      <c r="G3" s="36"/>
    </row>
    <row r="4">
      <c r="A4" s="36" t="s">
        <v>316</v>
      </c>
      <c r="B4" s="38" t="s">
        <v>317</v>
      </c>
      <c r="F4" s="36"/>
      <c r="G4" s="36"/>
    </row>
    <row r="5">
      <c r="A5" s="36" t="s">
        <v>318</v>
      </c>
      <c r="B5" s="39" t="s">
        <v>319</v>
      </c>
      <c r="F5" s="36"/>
      <c r="G5" s="36"/>
    </row>
    <row r="6">
      <c r="A6" s="36" t="s">
        <v>320</v>
      </c>
      <c r="B6" s="38" t="s">
        <v>321</v>
      </c>
      <c r="F6" s="36"/>
      <c r="G6" s="36"/>
    </row>
    <row r="7">
      <c r="A7" s="36" t="s">
        <v>322</v>
      </c>
      <c r="B7" s="40" t="s">
        <v>323</v>
      </c>
      <c r="F7" s="36"/>
      <c r="G7" s="36"/>
    </row>
    <row r="8">
      <c r="A8" s="41" t="s">
        <v>324</v>
      </c>
      <c r="B8" s="38" t="s">
        <v>325</v>
      </c>
      <c r="F8" s="36"/>
      <c r="G8" s="36"/>
    </row>
    <row r="9">
      <c r="A9" s="36"/>
      <c r="B9" s="42"/>
      <c r="C9" s="36"/>
      <c r="D9" s="36"/>
      <c r="E9" s="36"/>
      <c r="F9" s="36"/>
      <c r="G9" s="36"/>
    </row>
    <row r="10">
      <c r="A10" s="43" t="s">
        <v>326</v>
      </c>
    </row>
    <row r="11">
      <c r="A11" s="37" t="s">
        <v>327</v>
      </c>
      <c r="B11" s="44" t="s">
        <v>314</v>
      </c>
      <c r="C11" s="44" t="s">
        <v>316</v>
      </c>
      <c r="D11" s="44" t="s">
        <v>318</v>
      </c>
      <c r="E11" s="44" t="s">
        <v>320</v>
      </c>
      <c r="F11" s="44" t="s">
        <v>322</v>
      </c>
      <c r="G11" s="44" t="s">
        <v>324</v>
      </c>
    </row>
    <row r="12">
      <c r="A12" s="1" t="s">
        <v>10</v>
      </c>
      <c r="B12" s="45" t="s">
        <v>328</v>
      </c>
      <c r="C12" s="45" t="s">
        <v>329</v>
      </c>
      <c r="D12" s="45" t="s">
        <v>330</v>
      </c>
      <c r="E12" s="46" t="s">
        <v>331</v>
      </c>
      <c r="F12" s="47" t="s">
        <v>332</v>
      </c>
      <c r="G12" s="45" t="s">
        <v>333</v>
      </c>
    </row>
    <row r="13">
      <c r="A13" s="1" t="s">
        <v>11</v>
      </c>
      <c r="B13" s="45" t="s">
        <v>334</v>
      </c>
      <c r="C13" s="45" t="s">
        <v>335</v>
      </c>
      <c r="D13" s="47" t="s">
        <v>336</v>
      </c>
      <c r="E13" s="47" t="s">
        <v>337</v>
      </c>
      <c r="F13" s="47" t="s">
        <v>338</v>
      </c>
      <c r="G13" s="45" t="s">
        <v>339</v>
      </c>
    </row>
    <row r="14">
      <c r="A14" s="1" t="s">
        <v>12</v>
      </c>
      <c r="B14" s="47" t="s">
        <v>340</v>
      </c>
      <c r="C14" s="48" t="s">
        <v>341</v>
      </c>
      <c r="D14" s="45" t="s">
        <v>342</v>
      </c>
      <c r="E14" s="45" t="s">
        <v>343</v>
      </c>
      <c r="F14" s="45" t="s">
        <v>344</v>
      </c>
      <c r="G14" s="49" t="s">
        <v>345</v>
      </c>
    </row>
    <row r="15">
      <c r="A15" s="1" t="s">
        <v>13</v>
      </c>
      <c r="B15" s="50" t="s">
        <v>346</v>
      </c>
      <c r="C15" s="45" t="s">
        <v>347</v>
      </c>
      <c r="D15" s="50" t="s">
        <v>348</v>
      </c>
      <c r="E15" s="45" t="s">
        <v>349</v>
      </c>
      <c r="F15" s="48" t="s">
        <v>350</v>
      </c>
      <c r="G15" s="45" t="s">
        <v>351</v>
      </c>
    </row>
    <row r="16">
      <c r="A16" s="1" t="s">
        <v>14</v>
      </c>
      <c r="B16" s="45" t="s">
        <v>352</v>
      </c>
      <c r="C16" s="45" t="s">
        <v>353</v>
      </c>
      <c r="D16" s="47" t="s">
        <v>354</v>
      </c>
      <c r="E16" s="47" t="s">
        <v>355</v>
      </c>
      <c r="F16" s="51" t="s">
        <v>356</v>
      </c>
      <c r="G16" s="45" t="s">
        <v>357</v>
      </c>
    </row>
    <row r="17">
      <c r="B17" s="52"/>
      <c r="D17" s="52"/>
      <c r="F17" s="52"/>
    </row>
  </sheetData>
  <mergeCells count="9">
    <mergeCell ref="B8:E8"/>
    <mergeCell ref="A10:G10"/>
    <mergeCell ref="A1:E1"/>
    <mergeCell ref="B2:E2"/>
    <mergeCell ref="B3:E3"/>
    <mergeCell ref="B4:E4"/>
    <mergeCell ref="B5:E5"/>
    <mergeCell ref="B6:E6"/>
    <mergeCell ref="B7:E7"/>
  </mergeCells>
  <drawing r:id="rId1"/>
</worksheet>
</file>